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113bdf94a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Control" sheetId="1" r:id="Rc55351bf61b845c5"/>
    <x:sheet xmlns:r="http://schemas.openxmlformats.org/officeDocument/2006/relationships" name="01 Locations" sheetId="2" r:id="Rcbe2134f17a64f25"/>
    <x:sheet xmlns:r="http://schemas.openxmlformats.org/officeDocument/2006/relationships" name="02 Pilot" sheetId="3" r:id="Rba6ab46931cb4a46"/>
    <x:sheet xmlns:r="http://schemas.openxmlformats.org/officeDocument/2006/relationships" name="03 Shifts" sheetId="4" r:id="R2890c4ef922d4e3b"/>
    <x:sheet xmlns:r="http://schemas.openxmlformats.org/officeDocument/2006/relationships" name="04 Banks" sheetId="5" r:id="R4a23616df7254bcc"/>
    <x:sheet xmlns:r="http://schemas.openxmlformats.org/officeDocument/2006/relationships" name="05 Payment Channels" sheetId="6" r:id="R4906608e0d4d4d18"/>
    <x:sheet xmlns:r="http://schemas.openxmlformats.org/officeDocument/2006/relationships" name="06 Tanks" sheetId="7" r:id="R2f61254e10574f64"/>
    <x:sheet xmlns:r="http://schemas.openxmlformats.org/officeDocument/2006/relationships" name="07 Calibration" sheetId="8" r:id="Rbe2950690a904142"/>
    <x:sheet xmlns:r="http://schemas.openxmlformats.org/officeDocument/2006/relationships" name="08 Pumps-Nozzles" sheetId="9" r:id="R288a6019b47845dc"/>
    <x:sheet xmlns:r="http://schemas.openxmlformats.org/officeDocument/2006/relationships" name="09 Suppliers" sheetId="10" r:id="R2f0b442aa22746c8"/>
    <x:sheet xmlns:r="http://schemas.openxmlformats.org/officeDocument/2006/relationships" name="10 Customers" sheetId="11" r:id="R2dd83191c6b34922"/>
    <x:sheet xmlns:r="http://schemas.openxmlformats.org/officeDocument/2006/relationships" name="11 Approvals" sheetId="12" r:id="Rce154330d95f41c1"/>
    <x:sheet xmlns:r="http://schemas.openxmlformats.org/officeDocument/2006/relationships" name="12 Cash Controls" sheetId="13" r:id="R6574e133cfef49b2"/>
    <x:sheet xmlns:r="http://schemas.openxmlformats.org/officeDocument/2006/relationships" name="13 Variance Alerts" sheetId="14" r:id="R44e65fb0410a4fdf"/>
    <x:sheet xmlns:r="http://schemas.openxmlformats.org/officeDocument/2006/relationships" name="14 Tax Accounting" sheetId="15" r:id="R3195a09192c7401b"/>
    <x:sheet xmlns:r="http://schemas.openxmlformats.org/officeDocument/2006/relationships" name="15 Opening Inventory" sheetId="16" r:id="R056254ba3f9f4d52"/>
    <x:sheet xmlns:r="http://schemas.openxmlformats.org/officeDocument/2006/relationships" name="16 Opening Money" sheetId="17" r:id="R41174e4f413a472d"/>
    <x:sheet xmlns:r="http://schemas.openxmlformats.org/officeDocument/2006/relationships" name="17 Opening Accounts" sheetId="18" r:id="Rb7a492ef5f374549"/>
    <x:sheet xmlns:r="http://schemas.openxmlformats.org/officeDocument/2006/relationships" name="18 Recent History" sheetId="19" r:id="R294212650720437b"/>
    <x:sheet xmlns:r="http://schemas.openxmlformats.org/officeDocument/2006/relationships" name="19 Daily Reconciliation" sheetId="20" r:id="Rb9f8887c112d4a83"/>
    <x:sheet xmlns:r="http://schemas.openxmlformats.org/officeDocument/2006/relationships" name="20 Delivery Form" sheetId="21" r:id="R71c8687059d94c20"/>
    <x:sheet xmlns:r="http://schemas.openxmlformats.org/officeDocument/2006/relationships" name="21 Cash Handover" sheetId="22" r:id="R7b233d300e1041b1"/>
    <x:sheet xmlns:r="http://schemas.openxmlformats.org/officeDocument/2006/relationships" name="22 Expense Form" sheetId="23" r:id="R4c206c0642084c28"/>
    <x:sheet xmlns:r="http://schemas.openxmlformats.org/officeDocument/2006/relationships" name="23 Sources" sheetId="24" r:id="R3d63256edff4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$#,##0.00"/>
    <x:numFmt numFmtId="202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8FA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FF7E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9bac96485457a" /><Relationship Type="http://schemas.openxmlformats.org/officeDocument/2006/relationships/theme" Target="/xl/theme/theme1.xml" Id="R59217bcdd29f45f7" /><Relationship Type="http://schemas.openxmlformats.org/officeDocument/2006/relationships/sharedStrings" Target="/xl/sharedStrings.xml" Id="R3065123d69f044ab" /><Relationship Type="http://schemas.openxmlformats.org/officeDocument/2006/relationships/worksheet" Target="/xl/worksheets/sheet1.xml" Id="Rc55351bf61b845c5" /><Relationship Type="http://schemas.openxmlformats.org/officeDocument/2006/relationships/worksheet" Target="/xl/worksheets/sheet2.xml" Id="Rcbe2134f17a64f25" /><Relationship Type="http://schemas.openxmlformats.org/officeDocument/2006/relationships/worksheet" Target="/xl/worksheets/sheet3.xml" Id="Rba6ab46931cb4a46" /><Relationship Type="http://schemas.openxmlformats.org/officeDocument/2006/relationships/worksheet" Target="/xl/worksheets/sheet4.xml" Id="R2890c4ef922d4e3b" /><Relationship Type="http://schemas.openxmlformats.org/officeDocument/2006/relationships/worksheet" Target="/xl/worksheets/sheet5.xml" Id="R4a23616df7254bcc" /><Relationship Type="http://schemas.openxmlformats.org/officeDocument/2006/relationships/worksheet" Target="/xl/worksheets/sheet6.xml" Id="R4906608e0d4d4d18" /><Relationship Type="http://schemas.openxmlformats.org/officeDocument/2006/relationships/worksheet" Target="/xl/worksheets/sheet7.xml" Id="R2f61254e10574f64" /><Relationship Type="http://schemas.openxmlformats.org/officeDocument/2006/relationships/worksheet" Target="/xl/worksheets/sheet8.xml" Id="Rbe2950690a904142" /><Relationship Type="http://schemas.openxmlformats.org/officeDocument/2006/relationships/worksheet" Target="/xl/worksheets/sheet9.xml" Id="R288a6019b47845dc" /><Relationship Type="http://schemas.openxmlformats.org/officeDocument/2006/relationships/worksheet" Target="/xl/worksheets/sheet10.xml" Id="R2f0b442aa22746c8" /><Relationship Type="http://schemas.openxmlformats.org/officeDocument/2006/relationships/worksheet" Target="/xl/worksheets/sheet11.xml" Id="R2dd83191c6b34922" /><Relationship Type="http://schemas.openxmlformats.org/officeDocument/2006/relationships/worksheet" Target="/xl/worksheets/sheet12.xml" Id="Rce154330d95f41c1" /><Relationship Type="http://schemas.openxmlformats.org/officeDocument/2006/relationships/worksheet" Target="/xl/worksheets/sheet13.xml" Id="R6574e133cfef49b2" /><Relationship Type="http://schemas.openxmlformats.org/officeDocument/2006/relationships/worksheet" Target="/xl/worksheets/sheet14.xml" Id="R44e65fb0410a4fdf" /><Relationship Type="http://schemas.openxmlformats.org/officeDocument/2006/relationships/worksheet" Target="/xl/worksheets/sheet15.xml" Id="R3195a09192c7401b" /><Relationship Type="http://schemas.openxmlformats.org/officeDocument/2006/relationships/worksheet" Target="/xl/worksheets/sheet16.xml" Id="R056254ba3f9f4d52" /><Relationship Type="http://schemas.openxmlformats.org/officeDocument/2006/relationships/worksheet" Target="/xl/worksheets/sheet17.xml" Id="R41174e4f413a472d" /><Relationship Type="http://schemas.openxmlformats.org/officeDocument/2006/relationships/worksheet" Target="/xl/worksheets/sheet18.xml" Id="Rb7a492ef5f374549" /><Relationship Type="http://schemas.openxmlformats.org/officeDocument/2006/relationships/worksheet" Target="/xl/worksheets/sheet19.xml" Id="R294212650720437b" /><Relationship Type="http://schemas.openxmlformats.org/officeDocument/2006/relationships/worksheet" Target="/xl/worksheets/sheet20.xml" Id="Rb9f8887c112d4a83" /><Relationship Type="http://schemas.openxmlformats.org/officeDocument/2006/relationships/worksheet" Target="/xl/worksheets/sheet21.xml" Id="R71c8687059d94c20" /><Relationship Type="http://schemas.openxmlformats.org/officeDocument/2006/relationships/worksheet" Target="/xl/worksheets/sheet22.xml" Id="R7b233d300e1041b1" /><Relationship Type="http://schemas.openxmlformats.org/officeDocument/2006/relationships/worksheet" Target="/xl/worksheets/sheet23.xml" Id="R4c206c0642084c28" /><Relationship Type="http://schemas.openxmlformats.org/officeDocument/2006/relationships/worksheet" Target="/xl/worksheets/sheet24.xml" Id="R3d63256edff4467b" /></Relationships>
</file>

<file path=xl/tables/table1.xml><?xml version="1.0" encoding="utf-8"?>
<x:table xmlns:x="http://schemas.openxmlformats.org/spreadsheetml/2006/main" id="1" name="ControlStatusTable" displayName="ControlStatusTable" ref="A13:F28" headerRowCount="1" totalsRowCount="0" totalsRowShown="0">
  <x:tableColumns count="6">
    <x:tableColumn id="1" name="Setup area"/>
    <x:tableColumn id="2" name="Workbook sheet"/>
    <x:tableColumn id="3" name="Build can proceed now?"/>
    <x:tableColumn id="4" name="Go-live needs client data?"/>
    <x:tableColumn id="5" name="Default / approach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tionsTable" displayName="LocationsTable" ref="A4:K15" headerRowCount="1" totalsRowCount="0" totalsRowShown="0">
  <x:tableColumns count="11">
    <x:tableColumn id="1" name="Location / Station"/>
    <x:tableColumn id="2" name="Source"/>
    <x:tableColumn id="3" name="Type"/>
    <x:tableColumn id="4" name="Active?"/>
    <x:tableColumn id="5" name="Legal Entity"/>
    <x:tableColumn id="6" name="Timezone"/>
    <x:tableColumn id="7" name="Currency"/>
    <x:tableColumn id="8" name="Pilot Candidate?"/>
    <x:tableColumn id="9" name="Go-live Phase"/>
    <x:tableColumn id="10" name="Verified?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Table" displayName="PilotTable" ref="A4:I15" headerRowCount="1" totalsRowCount="0" totalsRowShown="0">
  <x:tableColumns count="9">
    <x:tableColumn id="1" name="Candidate Location"/>
    <x:tableColumn id="2" name="Selected Pilot?"/>
    <x:tableColumn id="3" name="Client Pilot Owner"/>
    <x:tableColumn id="4" name="Supervisor Lead"/>
    <x:tableColumn id="5" name="Finance Lead"/>
    <x:tableColumn id="6" name="Shadow Days"/>
    <x:tableColumn id="7" name="Target Start"/>
    <x:tableColumn id="8" name="Exit Sign-off Owner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iftTemplateTable" displayName="ShiftTemplateTable" ref="A4:J20" headerRowCount="1" totalsRowCount="0" totalsRowShown="0">
  <x:tableColumns count="10">
    <x:tableColumn id="1" name="Scope"/>
    <x:tableColumn id="2" name="Template Code"/>
    <x:tableColumn id="3" name="Template Name"/>
    <x:tableColumn id="4" name="Start Time"/>
    <x:tableColumn id="5" name="End Time"/>
    <x:tableColumn id="6" name="Default Duration (h)"/>
    <x:tableColumn id="7" name="Overnight?"/>
    <x:tableColumn id="8" name="Effective From"/>
    <x:tableColumn id="9" name="Active?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nkSetupTable" displayName="BankSetupTable" ref="A4:K30" headerRowCount="1" totalsRowCount="0" totalsRowShown="0">
  <x:tableColumns count="11">
    <x:tableColumn id="1" name="Legal Entity"/>
    <x:tableColumn id="2" name="Bank"/>
    <x:tableColumn id="3" name="Account Nickname"/>
    <x:tableColumn id="4" name="Currency"/>
    <x:tableColumn id="5" name="Last 4 Digits"/>
    <x:tableColumn id="6" name="Active?"/>
    <x:tableColumn id="7" name="Record Deposit Role"/>
    <x:tableColumn id="8" name="Confirm Bank Receipt Role"/>
    <x:tableColumn id="9" name="Deposit Proof Required?"/>
    <x:tableColumn id="10" name="High-Risk Change Approval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ymentChannelTable" displayName="PaymentChannelTable" ref="A4:M26" headerRowCount="1" totalsRowCount="0" totalsRowShown="0">
  <x:tableColumns count="13">
    <x:tableColumn id="1" name="Station / Scope"/>
    <x:tableColumn id="2" name="Channel Type"/>
    <x:tableColumn id="3" name="Provider"/>
    <x:tableColumn id="4" name="Merchant ID"/>
    <x:tableColumn id="5" name="Terminal ID"/>
    <x:tableColumn id="6" name="Currency"/>
    <x:tableColumn id="7" name="Settlement Bank"/>
    <x:tableColumn id="8" name="Expected Settlement Days"/>
    <x:tableColumn id="9" name="Grace Days"/>
    <x:tableColumn id="10" name="Fee Type"/>
    <x:tableColumn id="11" name="Fee Value"/>
    <x:tableColumn id="12" name="Active?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nkMasterTable" displayName="TankMasterTable" ref="A4:N15" headerRowCount="1" totalsRowCount="0" totalsRowShown="0">
  <x:tableColumns count="14">
    <x:tableColumn id="1" name="Station"/>
    <x:tableColumn id="2" name="Tank Code"/>
    <x:tableColumn id="3" name="Tank Name"/>
    <x:tableColumn id="4" name="Product"/>
    <x:tableColumn id="5" name="Nominal Capacity (L)"/>
    <x:tableColumn id="6" name="Safe Fill (L)"/>
    <x:tableColumn id="7" name="Inventory Pool"/>
    <x:tableColumn id="8" name="Status"/>
    <x:tableColumn id="9" name="Calibration Available?"/>
    <x:tableColumn id="10" name="Calibration Method"/>
    <x:tableColumn id="11" name="Normal Variance Limit (L)"/>
    <x:tableColumn id="12" name="Urgent Variance Limit (L)"/>
    <x:tableColumn id="13" name="Effective From"/>
    <x:tableColumn id="14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librationPointsTable" displayName="CalibrationPointsTable" ref="A4:H60" headerRowCount="1" totalsRowCount="0" totalsRowShown="0">
  <x:tableColumns count="8">
    <x:tableColumn id="1" name="Station"/>
    <x:tableColumn id="2" name="Tank Code"/>
    <x:tableColumn id="3" name="Calibration Version"/>
    <x:tableColumn id="4" name="Dip Measurement"/>
    <x:tableColumn id="5" name="Volume (L)"/>
    <x:tableColumn id="6" name="Effective From"/>
    <x:tableColumn id="7" name="Source / Document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umpNozzleTable" displayName="PumpNozzleTable" ref="A4:N26" headerRowCount="1" totalsRowCount="0" totalsRowShown="0">
  <x:tableColumns count="14">
    <x:tableColumn id="1" name="Station"/>
    <x:tableColumn id="2" name="Pump Code"/>
    <x:tableColumn id="3" name="Pump Name"/>
    <x:tableColumn id="4" name="Nozzle Code"/>
    <x:tableColumn id="5" name="Nozzle Status"/>
    <x:tableColumn id="6" name="Product"/>
    <x:tableColumn id="7" name="Inventory Pool"/>
    <x:tableColumn id="8" name="Meter Serial"/>
    <x:tableColumn id="9" name="Meter Make/Model"/>
    <x:tableColumn id="10" name="Initial Reading"/>
    <x:tableColumn id="11" name="Installed At"/>
    <x:tableColumn id="12" name="Photo/Evidence?"/>
    <x:tableColumn id="13" name="Verified?"/>
    <x:tableColumn id="14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upplierMasterTable" displayName="SupplierMasterTable" ref="A4:N30" headerRowCount="1" totalsRowCount="0" totalsRowShown="0">
  <x:tableColumns count="14">
    <x:tableColumn id="1" name="Supplier Code"/>
    <x:tableColumn id="2" name="Legal / Trading Name"/>
    <x:tableColumn id="3" name="Supplier Type"/>
    <x:tableColumn id="4" name="Currency"/>
    <x:tableColumn id="5" name="Default Credit Days"/>
    <x:tableColumn id="6" name="Credit Limit"/>
    <x:tableColumn id="7" name="Fuel Products"/>
    <x:tableColumn id="8" name="Transport Separate?"/>
    <x:tableColumn id="9" name="Due Reminder Days"/>
    <x:tableColumn id="10" name="Primary Contact"/>
    <x:tableColumn id="11" name="Phone / Email"/>
    <x:tableColumn id="12" name="Active?"/>
    <x:tableColumn id="13" name="Existing Balance at Cutover?"/>
    <x:tableColumn id="14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ustomerMasterTable" displayName="CustomerMasterTable" ref="A4:P35" headerRowCount="1" totalsRowCount="0" totalsRowShown="0">
  <x:tableColumns count="16">
    <x:tableColumn id="1" name="Customer Code"/>
    <x:tableColumn id="2" name="Customer / Beneficiary"/>
    <x:tableColumn id="3" name="Account Type"/>
    <x:tableColumn id="4" name="Currency"/>
    <x:tableColumn id="5" name="Product"/>
    <x:tableColumn id="6" name="Credit / Value Limit"/>
    <x:tableColumn id="7" name="Opening Balance"/>
    <x:tableColumn id="8" name="Billing Mode"/>
    <x:tableColumn id="9" name="Payment Terms Days"/>
    <x:tableColumn id="10" name="Vehicle Restriction?"/>
    <x:tableColumn id="11" name="Driver Restriction?"/>
    <x:tableColumn id="12" name="Station Restriction?"/>
    <x:tableColumn id="13" name="Custom Price?"/>
    <x:tableColumn id="14" name="Primary Contact"/>
    <x:tableColumn id="15" name="Active?"/>
    <x:tableColumn id="16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pprovalPolicyTable" displayName="ApprovalPolicyTable" ref="A4:L12" headerRowCount="1" totalsRowCount="0" totalsRowShown="0">
  <x:tableColumns count="12">
    <x:tableColumn id="1" name="Domain"/>
    <x:tableColumn id="2" name="Action"/>
    <x:tableColumn id="3" name="Prepared / Requested By"/>
    <x:tableColumn id="4" name="Default Approver"/>
    <x:tableColumn id="5" name="Always Approval?"/>
    <x:tableColumn id="6" name="Step-Up Trigger"/>
    <x:tableColumn id="7" name="Second Approver Trigger"/>
    <x:tableColumn id="8" name="Self Approval?"/>
    <x:tableColumn id="9" name="Evidence Required?"/>
    <x:tableColumn id="10" name="Effective From"/>
    <x:tableColumn id="11" name="Pilot Status"/>
    <x:tableColumn id="12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shControlTable" displayName="CashControlTable" ref="A4:M15" headerRowCount="1" totalsRowCount="0" totalsRowShown="0">
  <x:tableColumns count="13">
    <x:tableColumn id="1" name="Station"/>
    <x:tableColumn id="2" name="Currency"/>
    <x:tableColumn id="3" name="Required Float"/>
    <x:tableColumn id="4" name="Collector / Custodian Role"/>
    <x:tableColumn id="5" name="Dual Handover Confirmation?"/>
    <x:tableColumn id="6" name="Dual Confirm Threshold"/>
    <x:tableColumn id="7" name="Unbanked Warning Hours"/>
    <x:tableColumn id="8" name="Unbanked Urgent Hours"/>
    <x:tableColumn id="9" name="Deposit Proof Required?"/>
    <x:tableColumn id="10" name="Denomination Count Required?"/>
    <x:tableColumn id="11" name="Shortage Resolution Approver"/>
    <x:tableColumn id="12" name="Effective From"/>
    <x:tableColumn id="13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VarianceAlertTable" displayName="VarianceAlertTable" ref="A4:K12" headerRowCount="1" totalsRowCount="0" totalsRowShown="0">
  <x:tableColumns count="11">
    <x:tableColumn id="1" name="Area"/>
    <x:tableColumn id="2" name="Metric"/>
    <x:tableColumn id="3" name="Normal"/>
    <x:tableColumn id="4" name="Explanation / Warning"/>
    <x:tableColumn id="5" name="Urgent / Block"/>
    <x:tableColumn id="6" name="Unit / Rule"/>
    <x:tableColumn id="7" name="Action"/>
    <x:tableColumn id="8" name="Owner"/>
    <x:tableColumn id="9" name="Configurable?"/>
    <x:tableColumn id="10" name="Pilot Default?"/>
    <x:tableColumn id="11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xAccountingTable" displayName="TaxAccountingTable" ref="A4:J10" headerRowCount="1" totalsRowCount="0" totalsRowShown="0">
  <x:tableColumns count="10">
    <x:tableColumn id="1" name="Topic"/>
    <x:tableColumn id="2" name="Question / Confirmation Needed"/>
    <x:tableColumn id="3" name="Current System Position"/>
    <x:tableColumn id="4" name="Client / Accountant Answer"/>
    <x:tableColumn id="5" name="Confirmed By"/>
    <x:tableColumn id="6" name="Date"/>
    <x:tableColumn id="7" name="Evidence / Source"/>
    <x:tableColumn id="8" name="Blocks Development?"/>
    <x:tableColumn id="9" name="Blocks Go-Live?"/>
    <x:tableColumn id="10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OpeningInventoryTable" displayName="OpeningInventoryTable" ref="A4:K26" headerRowCount="1" totalsRowCount="0" totalsRowShown="0">
  <x:tableColumns count="11">
    <x:tableColumn id="1" name="Station"/>
    <x:tableColumn id="2" name="Inventory Pool"/>
    <x:tableColumn id="3" name="Product"/>
    <x:tableColumn id="4" name="Opening Litres"/>
    <x:tableColumn id="5" name="Opening Inventory Value"/>
    <x:tableColumn id="6" name="Currency"/>
    <x:tableColumn id="7" name="Implied WAC"/>
    <x:tableColumn id="8" name="Physical Dip Litres"/>
    <x:tableColumn id="9" name="Variance"/>
    <x:tableColumn id="10" name="Evidence / Source"/>
    <x:tableColumn id="11" name="Approved?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OpeningMoneyTable" displayName="OpeningMoneyTable" ref="A4:L28" headerRowCount="1" totalsRowCount="0" totalsRowShown="0">
  <x:tableColumns count="12">
    <x:tableColumn id="1" name="Category"/>
    <x:tableColumn id="2" name="Station / Scope"/>
    <x:tableColumn id="3" name="Custody / Bank / Provider"/>
    <x:tableColumn id="4" name="Custodian"/>
    <x:tableColumn id="5" name="Currency"/>
    <x:tableColumn id="6" name="Amount"/>
    <x:tableColumn id="7" name="Status"/>
    <x:tableColumn id="8" name="Reference"/>
    <x:tableColumn id="9" name="As-of Date"/>
    <x:tableColumn id="10" name="Evidence / Source"/>
    <x:tableColumn id="11" name="Approved?"/>
    <x:tableColumn id="12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OpeningAccountsTable" displayName="OpeningAccountsTable" ref="A4:M60" headerRowCount="1" totalsRowCount="0" totalsRowShown="0">
  <x:tableColumns count="13">
    <x:tableColumn id="1" name="Position Type"/>
    <x:tableColumn id="2" name="Counterparty"/>
    <x:tableColumn id="3" name="Account / Invoice Ref"/>
    <x:tableColumn id="4" name="Product"/>
    <x:tableColumn id="5" name="Currency"/>
    <x:tableColumn id="6" name="Amount"/>
    <x:tableColumn id="7" name="Litres"/>
    <x:tableColumn id="8" name="Due Date"/>
    <x:tableColumn id="9" name="Unapplied / Reserved"/>
    <x:tableColumn id="10" name="Status"/>
    <x:tableColumn id="11" name="Evidence / Source"/>
    <x:tableColumn id="12" name="Approved?"/>
    <x:tableColumn id="13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centHistoryTable" displayName="RecentHistoryTable" ref="A4:J20" headerRowCount="1" totalsRowCount="0" totalsRowShown="0">
  <x:tableColumns count="10">
    <x:tableColumn id="1" name="Data Set"/>
    <x:tableColumn id="2" name="Proposed Date Range"/>
    <x:tableColumn id="3" name="Why Useful"/>
    <x:tableColumn id="4" name="Source"/>
    <x:tableColumn id="5" name="Data Quality"/>
    <x:tableColumn id="6" name="Import?"/>
    <x:tableColumn id="7" name="Authoritative in New Ledgers?"/>
    <x:tableColumn id="8" name="Reference Only?"/>
    <x:tableColumn id="9" name="Owner"/>
    <x:tableColumn id="10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sTable" displayName="SourcesTable" ref="A4:H9" headerRowCount="1" totalsRowCount="0" totalsRowShown="0">
  <x:tableColumns count="8">
    <x:tableColumn id="1" name="Source Type"/>
    <x:tableColumn id="2" name="Source / URL"/>
    <x:tableColumn id="3" name="What it Supports"/>
    <x:tableColumn id="4" name="Status"/>
    <x:tableColumn id="5" name="Used For"/>
    <x:tableColumn id="6" name="Date Checked"/>
    <x:tableColumn id="7" name="Confidenc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043f745a684b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4ae7e1dfb3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ba90d4337d45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276417d14548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07e1de12b742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b47421f03c49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4c566da2c7f4f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9d4075c78a442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e5195946ebb45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762bb0f648245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21aa89ab10241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459d66f688e42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140ad95c32c4e5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c0d9cd9b81a40c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0f9e6e04be440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4ecb30a8a71442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be5c515e7b745e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1b42fb70504437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823f0e607b54ad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406316b9ddbe41a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4" hidden="0" customWidth="1"/>
    <x:col min="5" max="5" width="46" hidden="0" customWidth="1"/>
    <x:col min="6" max="6" width="18" hidden="0" customWidth="1"/>
  </x:cols>
  <x:sheetData>
    <x:row r="1" ht="28" customHeight="1">
      <x:c r="A1" s="4" t="str">
        <x:v>Shanda Fuel — Discovery, Setup &amp; Operational Forms Pack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Built from the client requirements, Triumph Energy/TEI resources supplied, confirmed CAT timezone, configurable 8-hour default shifts, and the locked Shanda Fuel architecture.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6" t="str">
        <x:v>Locked assumption</x:v>
      </x:c>
      <x:c r="B4" s="16" t="str">
        <x:v>Current decision</x:v>
      </x:c>
    </x:row>
    <x:row r="5">
      <x:c r="A5" s="20" t="str">
        <x:v>Legal entity</x:v>
      </x:c>
      <x:c r="B5" s="20" t="str">
        <x:v>Triumph Energy Investments (Pvt) Ltd — verify legal spelling at onboarding</x:v>
      </x:c>
    </x:row>
    <x:row r="6">
      <x:c r="A6" s="20" t="str">
        <x:v>Trading brand</x:v>
      </x:c>
      <x:c r="B6" s="20" t="str">
        <x:v>TEI Oils</x:v>
      </x:c>
    </x:row>
    <x:row r="7">
      <x:c r="A7" s="20" t="str">
        <x:v>Business timezone</x:v>
      </x:c>
      <x:c r="B7" s="20" t="str">
        <x:v>CAT (system timezone: Africa/Harare)</x:v>
      </x:c>
    </x:row>
    <x:row r="8">
      <x:c r="A8" s="20" t="str">
        <x:v>V1 currency</x:v>
      </x:c>
      <x:c r="B8" s="20" t="str">
        <x:v>USD</x:v>
      </x:c>
    </x:row>
    <x:row r="9">
      <x:c r="A9" s="20" t="str">
        <x:v>Shift policy</x:v>
      </x:c>
      <x:c r="B9" s="20" t="str">
        <x:v>Configurable per station; default duration 8 hours</x:v>
      </x:c>
    </x:row>
    <x:row r="10">
      <x:c r="A10" s="20" t="str">
        <x:v>History migration</x:v>
      </x:c>
      <x:c r="B10" s="20" t="str">
        <x:v>No broad history. Import approved opening positions + selective recent history only where genuinely useful.</x:v>
      </x:c>
    </x:row>
    <x:row r="11">
      <x:c r="A11" s="20" t="str">
        <x:v>Core products</x:v>
      </x:c>
      <x:c r="B11" s="20" t="str">
        <x:v>Diesel and Petrol seeded; additional products configurable</x:v>
      </x:c>
    </x:row>
    <x:row r="13">
      <x:c r="A13" s="16" t="str">
        <x:v>Setup area</x:v>
      </x:c>
      <x:c r="B13" s="16" t="str">
        <x:v>Workbook sheet</x:v>
      </x:c>
      <x:c r="C13" s="16" t="str">
        <x:v>Build can proceed now?</x:v>
      </x:c>
      <x:c r="D13" s="16" t="str">
        <x:v>Go-live needs client data?</x:v>
      </x:c>
      <x:c r="E13" s="16" t="str">
        <x:v>Default / approach</x:v>
      </x:c>
      <x:c r="F13" s="16" t="str">
        <x:v>Status</x:v>
      </x:c>
    </x:row>
    <x:row r="14">
      <x:c r="A14" t="str">
        <x:v>Stations / locations</x:v>
      </x:c>
      <x:c r="B14" t="str">
        <x:v>01 Locations</x:v>
      </x:c>
      <x:c r="C14" t="str">
        <x:v>Yes</x:v>
      </x:c>
      <x:c r="D14" t="str">
        <x:v>Yes — confirm final active list/pilot</x:v>
      </x:c>
      <x:c r="E14" t="str">
        <x:v>Seed from client-provided location list</x:v>
      </x:c>
      <x:c r="F14" t="str">
        <x:v>In progress</x:v>
      </x:c>
    </x:row>
    <x:row r="15">
      <x:c r="A15" t="str">
        <x:v>Pilot &amp; rollout</x:v>
      </x:c>
      <x:c r="B15" t="str">
        <x:v>02 Pilot</x:v>
      </x:c>
      <x:c r="C15" t="str">
        <x:v>Yes</x:v>
      </x:c>
      <x:c r="D15" t="str">
        <x:v>Yes — select pilot</x:v>
      </x:c>
      <x:c r="E15" t="str">
        <x:v>7–14 operating-day shadow pilot</x:v>
      </x:c>
      <x:c r="F15" t="str">
        <x:v>In progress</x:v>
      </x:c>
    </x:row>
    <x:row r="16">
      <x:c r="A16" t="str">
        <x:v>Shift templates</x:v>
      </x:c>
      <x:c r="B16" t="str">
        <x:v>03 Shifts</x:v>
      </x:c>
      <x:c r="C16" t="str">
        <x:v>Yes</x:v>
      </x:c>
      <x:c r="D16" t="str">
        <x:v>Only final clock times</x:v>
      </x:c>
      <x:c r="E16" t="str">
        <x:v>8-hour defaults, fully configurable</x:v>
      </x:c>
      <x:c r="F16" t="str">
        <x:v>Ready</x:v>
      </x:c>
    </x:row>
    <x:row r="17">
      <x:c r="A17" t="str">
        <x:v>Banks</x:v>
      </x:c>
      <x:c r="B17" t="str">
        <x:v>04 Banks</x:v>
      </x:c>
      <x:c r="C17" t="str">
        <x:v>Yes</x:v>
      </x:c>
      <x:c r="D17" t="str">
        <x:v>Yes</x:v>
      </x:c>
      <x:c r="E17" t="str">
        <x:v>Manual bank confirmation V1</x:v>
      </x:c>
      <x:c r="F17" t="str">
        <x:v>Awaiting data</x:v>
      </x:c>
    </x:row>
    <x:row r="18">
      <x:c r="A18" t="str">
        <x:v>POS / EcoCash</x:v>
      </x:c>
      <x:c r="B18" t="str">
        <x:v>05 Payment Channels</x:v>
      </x:c>
      <x:c r="C18" t="str">
        <x:v>Yes</x:v>
      </x:c>
      <x:c r="D18" t="str">
        <x:v>Yes</x:v>
      </x:c>
      <x:c r="E18" t="str">
        <x:v>Provider-neutral model</x:v>
      </x:c>
      <x:c r="F18" t="str">
        <x:v>Awaiting data</x:v>
      </x:c>
    </x:row>
    <x:row r="19">
      <x:c r="A19" t="str">
        <x:v>Tanks / calibration</x:v>
      </x:c>
      <x:c r="B19" t="str">
        <x:v>06 Tanks + 07 Calibration</x:v>
      </x:c>
      <x:c r="C19" t="str">
        <x:v>Yes</x:v>
      </x:c>
      <x:c r="D19" t="str">
        <x:v>Yes</x:v>
      </x:c>
      <x:c r="E19" t="str">
        <x:v>Versioned calibration</x:v>
      </x:c>
      <x:c r="F19" t="str">
        <x:v>Awaiting data</x:v>
      </x:c>
    </x:row>
    <x:row r="20">
      <x:c r="A20" t="str">
        <x:v>Pumps / nozzles / meters</x:v>
      </x:c>
      <x:c r="B20" t="str">
        <x:v>08 Pumps-Nozzles</x:v>
      </x:c>
      <x:c r="C20" t="str">
        <x:v>Yes</x:v>
      </x:c>
      <x:c r="D20" t="str">
        <x:v>Yes</x:v>
      </x:c>
      <x:c r="E20" t="str">
        <x:v>Effective-dated configuration</x:v>
      </x:c>
      <x:c r="F20" t="str">
        <x:v>Awaiting data</x:v>
      </x:c>
    </x:row>
    <x:row r="21">
      <x:c r="A21" t="str">
        <x:v>Suppliers</x:v>
      </x:c>
      <x:c r="B21" t="str">
        <x:v>09 Suppliers</x:v>
      </x:c>
      <x:c r="C21" t="str">
        <x:v>Yes</x:v>
      </x:c>
      <x:c r="D21" t="str">
        <x:v>Yes</x:v>
      </x:c>
      <x:c r="E21" t="str">
        <x:v>Credit terms snapshotted</x:v>
      </x:c>
      <x:c r="F21" t="str">
        <x:v>Awaiting data</x:v>
      </x:c>
    </x:row>
    <x:row r="22">
      <x:c r="A22" t="str">
        <x:v>Customers</x:v>
      </x:c>
      <x:c r="B22" t="str">
        <x:v>10 Customers</x:v>
      </x:c>
      <x:c r="C22" t="str">
        <x:v>Yes</x:v>
      </x:c>
      <x:c r="D22" t="str">
        <x:v>Yes</x:v>
      </x:c>
      <x:c r="E22" t="str">
        <x:v>Credit / prepaid value / prepaid litres / benefit</x:v>
      </x:c>
      <x:c r="F22" t="str">
        <x:v>Awaiting data</x:v>
      </x:c>
    </x:row>
    <x:row r="23">
      <x:c r="A23" t="str">
        <x:v>Approval policies</x:v>
      </x:c>
      <x:c r="B23" t="str">
        <x:v>11 Approvals</x:v>
      </x:c>
      <x:c r="C23" t="str">
        <x:v>Yes</x:v>
      </x:c>
      <x:c r="D23" t="str">
        <x:v>Pilot tuning</x:v>
      </x:c>
      <x:c r="E23" t="str">
        <x:v>Recommended policy defaults, configurable</x:v>
      </x:c>
      <x:c r="F23" t="str">
        <x:v>Ready for pilot</x:v>
      </x:c>
    </x:row>
    <x:row r="24">
      <x:c r="A24" t="str">
        <x:v>Cash controls</x:v>
      </x:c>
      <x:c r="B24" t="str">
        <x:v>12 Cash Controls</x:v>
      </x:c>
      <x:c r="C24" t="str">
        <x:v>Yes</x:v>
      </x:c>
      <x:c r="D24" t="str">
        <x:v>Float amount per station</x:v>
      </x:c>
      <x:c r="E24" t="str">
        <x:v>Dual acknowledgement; 24h unbanked warning</x:v>
      </x:c>
      <x:c r="F24" t="str">
        <x:v>Partial</x:v>
      </x:c>
    </x:row>
    <x:row r="25">
      <x:c r="A25" t="str">
        <x:v>Variances / alerts</x:v>
      </x:c>
      <x:c r="B25" t="str">
        <x:v>13 Variance Alerts</x:v>
      </x:c>
      <x:c r="C25" t="str">
        <x:v>Yes</x:v>
      </x:c>
      <x:c r="D25" t="str">
        <x:v>Pilot tuning</x:v>
      </x:c>
      <x:c r="E25" t="str">
        <x:v>Provisional thresholds; configurable</x:v>
      </x:c>
      <x:c r="F25" t="str">
        <x:v>Ready for pilot</x:v>
      </x:c>
    </x:row>
    <x:row r="26">
      <x:c r="A26" t="str">
        <x:v>Tax / accounting</x:v>
      </x:c>
      <x:c r="B26" t="str">
        <x:v>14 Tax Accounting</x:v>
      </x:c>
      <x:c r="C26" t="str">
        <x:v>Yes — tax-ready</x:v>
      </x:c>
      <x:c r="D26" t="str">
        <x:v>Yes — accountant signoff before tax automation</x:v>
      </x:c>
      <x:c r="E26" t="str">
        <x:v>Do not invent tax treatment</x:v>
      </x:c>
      <x:c r="F26" t="str">
        <x:v>Open</x:v>
      </x:c>
    </x:row>
    <x:row r="27">
      <x:c r="A27" t="str">
        <x:v>Opening balances</x:v>
      </x:c>
      <x:c r="B27" t="str">
        <x:v>15–17 Opening</x:v>
      </x:c>
      <x:c r="C27" t="str">
        <x:v>Yes</x:v>
      </x:c>
      <x:c r="D27" t="str">
        <x:v>Yes — at cutover</x:v>
      </x:c>
      <x:c r="E27" t="str">
        <x:v>Approved opening-position batch</x:v>
      </x:c>
      <x:c r="F27" t="str">
        <x:v>Later</x:v>
      </x:c>
    </x:row>
    <x:row r="28">
      <x:c r="A28" t="str">
        <x:v>Recent history</x:v>
      </x:c>
      <x:c r="B28" t="str">
        <x:v>18 Recent History</x:v>
      </x:c>
      <x:c r="C28" t="str">
        <x:v>Yes</x:v>
      </x:c>
      <x:c r="D28" t="str">
        <x:v>Only if useful</x:v>
      </x:c>
      <x:c r="E28" t="str">
        <x:v>Selective reference/continuity import only</x:v>
      </x:c>
      <x:c r="F28" t="str">
        <x:v>Optional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9043f745a684b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1" hidden="0" customWidth="1"/>
    <x:col min="5" max="5" width="32" hidden="0" customWidth="1"/>
    <x:col min="6" max="6" width="20" hidden="0" customWidth="1"/>
    <x:col min="7" max="7" width="10" hidden="0" customWidth="1"/>
    <x:col min="8" max="8" width="16" hidden="0" customWidth="1"/>
    <x:col min="9" max="9" width="14" hidden="0" customWidth="1"/>
    <x:col min="10" max="10" width="18" hidden="0" customWidth="1"/>
    <x:col min="11" max="11" width="48" hidden="0" customWidth="1"/>
  </x:cols>
  <x:sheetData>
    <x:row r="1" ht="28" customHeight="1">
      <x:c r="A1" s="4" t="str">
        <x:v>TEI Locations / Station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Seeded from the client-provided Triumph Energy resource. Confirm whether each location is an active retail station, depot, office, or other operating location.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6" t="str">
        <x:v>Location / Station</x:v>
      </x:c>
      <x:c r="B4" s="16" t="str">
        <x:v>Source</x:v>
      </x:c>
      <x:c r="C4" s="16" t="str">
        <x:v>Type</x:v>
      </x:c>
      <x:c r="D4" s="16" t="str">
        <x:v>Active?</x:v>
      </x:c>
      <x:c r="E4" s="16" t="str">
        <x:v>Legal Entity</x:v>
      </x:c>
      <x:c r="F4" s="16" t="str">
        <x:v>Timezone</x:v>
      </x:c>
      <x:c r="G4" s="16" t="str">
        <x:v>Currency</x:v>
      </x:c>
      <x:c r="H4" s="16" t="str">
        <x:v>Pilot Candidate?</x:v>
      </x:c>
      <x:c r="I4" s="16" t="str">
        <x:v>Go-live Phase</x:v>
      </x:c>
      <x:c r="J4" s="16" t="str">
        <x:v>Verified?</x:v>
      </x:c>
      <x:c r="K4" s="16" t="str">
        <x:v>Notes</x:v>
      </x:c>
    </x:row>
    <x:row r="5">
      <x:c r="A5" t="str">
        <x:v>Sandawana</x:v>
      </x:c>
      <x:c r="B5" t="str">
        <x:v>Client-provided Triumph Energy website/screenshot</x:v>
      </x:c>
      <x:c r="C5" t="str">
        <x:v>To confirm</x:v>
      </x:c>
      <x:c r="D5" t="str">
        <x:v>Yes</x:v>
      </x:c>
      <x:c r="E5" t="str">
        <x:v>Triumph Energy Investments (Pvt) Ltd</x:v>
      </x:c>
      <x:c r="F5" t="str">
        <x:v>CAT / Africa/Harare</x:v>
      </x:c>
      <x:c r="G5" t="str">
        <x:v>USD</x:v>
      </x:c>
      <x:c r="H5" t="str">
        <x:v>No</x:v>
      </x:c>
      <x:c r="I5" t="str">
        <x:v>To assign</x:v>
      </x:c>
      <x:c r="J5" t="str">
        <x:v>Client source</x:v>
      </x:c>
      <x:c r="K5" t="str"/>
    </x:row>
    <x:row r="6">
      <x:c r="A6" t="str">
        <x:v>Hwange</x:v>
      </x:c>
      <x:c r="B6" t="str">
        <x:v>Client-provided Triumph Energy website/screenshot</x:v>
      </x:c>
      <x:c r="C6" t="str">
        <x:v>To confirm</x:v>
      </x:c>
      <x:c r="D6" t="str">
        <x:v>Yes</x:v>
      </x:c>
      <x:c r="E6" t="str">
        <x:v>Triumph Energy Investments (Pvt) Ltd</x:v>
      </x:c>
      <x:c r="F6" t="str">
        <x:v>CAT / Africa/Harare</x:v>
      </x:c>
      <x:c r="G6" t="str">
        <x:v>USD</x:v>
      </x:c>
      <x:c r="H6" t="str">
        <x:v>No</x:v>
      </x:c>
      <x:c r="I6" t="str">
        <x:v>To assign</x:v>
      </x:c>
      <x:c r="J6" t="str">
        <x:v>Client source</x:v>
      </x:c>
      <x:c r="K6" t="str"/>
    </x:row>
    <x:row r="7">
      <x:c r="A7" t="str">
        <x:v>Bindura</x:v>
      </x:c>
      <x:c r="B7" t="str">
        <x:v>Client-provided Triumph Energy website/screenshot</x:v>
      </x:c>
      <x:c r="C7" t="str">
        <x:v>To confirm</x:v>
      </x:c>
      <x:c r="D7" t="str">
        <x:v>Yes</x:v>
      </x:c>
      <x:c r="E7" t="str">
        <x:v>Triumph Energy Investments (Pvt) Ltd</x:v>
      </x:c>
      <x:c r="F7" t="str">
        <x:v>CAT / Africa/Harare</x:v>
      </x:c>
      <x:c r="G7" t="str">
        <x:v>USD</x:v>
      </x:c>
      <x:c r="H7" t="str">
        <x:v>No</x:v>
      </x:c>
      <x:c r="I7" t="str">
        <x:v>To assign</x:v>
      </x:c>
      <x:c r="J7" t="str">
        <x:v>Client source</x:v>
      </x:c>
      <x:c r="K7" t="str"/>
    </x:row>
    <x:row r="8">
      <x:c r="A8" t="str">
        <x:v>Makaha</x:v>
      </x:c>
      <x:c r="B8" t="str">
        <x:v>Client-provided Triumph Energy website/screenshot</x:v>
      </x:c>
      <x:c r="C8" t="str">
        <x:v>To confirm</x:v>
      </x:c>
      <x:c r="D8" t="str">
        <x:v>Yes</x:v>
      </x:c>
      <x:c r="E8" t="str">
        <x:v>Triumph Energy Investments (Pvt) Ltd</x:v>
      </x:c>
      <x:c r="F8" t="str">
        <x:v>CAT / Africa/Harare</x:v>
      </x:c>
      <x:c r="G8" t="str">
        <x:v>USD</x:v>
      </x:c>
      <x:c r="H8" t="str">
        <x:v>No</x:v>
      </x:c>
      <x:c r="I8" t="str">
        <x:v>To assign</x:v>
      </x:c>
      <x:c r="J8" t="str">
        <x:v>Client source</x:v>
      </x:c>
      <x:c r="K8" t="str"/>
    </x:row>
    <x:row r="9">
      <x:c r="A9" t="str">
        <x:v>Kwekwe</x:v>
      </x:c>
      <x:c r="B9" t="str">
        <x:v>Client-provided Triumph Energy website/screenshot</x:v>
      </x:c>
      <x:c r="C9" t="str">
        <x:v>To confirm</x:v>
      </x:c>
      <x:c r="D9" t="str">
        <x:v>Yes</x:v>
      </x:c>
      <x:c r="E9" t="str">
        <x:v>Triumph Energy Investments (Pvt) Ltd</x:v>
      </x:c>
      <x:c r="F9" t="str">
        <x:v>CAT / Africa/Harare</x:v>
      </x:c>
      <x:c r="G9" t="str">
        <x:v>USD</x:v>
      </x:c>
      <x:c r="H9" t="str">
        <x:v>No</x:v>
      </x:c>
      <x:c r="I9" t="str">
        <x:v>To assign</x:v>
      </x:c>
      <x:c r="J9" t="str">
        <x:v>Client source</x:v>
      </x:c>
      <x:c r="K9" t="str"/>
    </x:row>
    <x:row r="10">
      <x:c r="A10" t="str">
        <x:v>Kadoma</x:v>
      </x:c>
      <x:c r="B10" t="str">
        <x:v>Client-provided Triumph Energy website/screenshot</x:v>
      </x:c>
      <x:c r="C10" t="str">
        <x:v>To confirm</x:v>
      </x:c>
      <x:c r="D10" t="str">
        <x:v>Yes</x:v>
      </x:c>
      <x:c r="E10" t="str">
        <x:v>Triumph Energy Investments (Pvt) Ltd</x:v>
      </x:c>
      <x:c r="F10" t="str">
        <x:v>CAT / Africa/Harare</x:v>
      </x:c>
      <x:c r="G10" t="str">
        <x:v>USD</x:v>
      </x:c>
      <x:c r="H10" t="str">
        <x:v>No</x:v>
      </x:c>
      <x:c r="I10" t="str">
        <x:v>To assign</x:v>
      </x:c>
      <x:c r="J10" t="str">
        <x:v>Client source</x:v>
      </x:c>
      <x:c r="K10" t="str"/>
    </x:row>
    <x:row r="11">
      <x:c r="A11" t="str">
        <x:v>Gweru</x:v>
      </x:c>
      <x:c r="B11" t="str">
        <x:v>Client-provided Triumph Energy website/screenshot</x:v>
      </x:c>
      <x:c r="C11" t="str">
        <x:v>To confirm</x:v>
      </x:c>
      <x:c r="D11" t="str">
        <x:v>Yes</x:v>
      </x:c>
      <x:c r="E11" t="str">
        <x:v>Triumph Energy Investments (Pvt) Ltd</x:v>
      </x:c>
      <x:c r="F11" t="str">
        <x:v>CAT / Africa/Harare</x:v>
      </x:c>
      <x:c r="G11" t="str">
        <x:v>USD</x:v>
      </x:c>
      <x:c r="H11" t="str">
        <x:v>No</x:v>
      </x:c>
      <x:c r="I11" t="str">
        <x:v>To assign</x:v>
      </x:c>
      <x:c r="J11" t="str">
        <x:v>Client source</x:v>
      </x:c>
      <x:c r="K11" t="str"/>
    </x:row>
    <x:row r="12">
      <x:c r="A12" t="str">
        <x:v>Harare</x:v>
      </x:c>
      <x:c r="B12" t="str">
        <x:v>Client-provided Triumph Energy website/screenshot</x:v>
      </x:c>
      <x:c r="C12" t="str">
        <x:v>To confirm</x:v>
      </x:c>
      <x:c r="D12" t="str">
        <x:v>Yes</x:v>
      </x:c>
      <x:c r="E12" t="str">
        <x:v>Triumph Energy Investments (Pvt) Ltd</x:v>
      </x:c>
      <x:c r="F12" t="str">
        <x:v>CAT / Africa/Harare</x:v>
      </x:c>
      <x:c r="G12" t="str">
        <x:v>USD</x:v>
      </x:c>
      <x:c r="H12" t="str">
        <x:v>No</x:v>
      </x:c>
      <x:c r="I12" t="str">
        <x:v>To assign</x:v>
      </x:c>
      <x:c r="J12" t="str">
        <x:v>Client source</x:v>
      </x:c>
      <x:c r="K12" t="str"/>
    </x:row>
    <x:row r="13">
      <x:c r="A13" t="str">
        <x:v>Mutare</x:v>
      </x:c>
      <x:c r="B13" t="str">
        <x:v>Client-provided Triumph Energy website/screenshot</x:v>
      </x:c>
      <x:c r="C13" t="str">
        <x:v>To confirm</x:v>
      </x:c>
      <x:c r="D13" t="str">
        <x:v>Yes</x:v>
      </x:c>
      <x:c r="E13" t="str">
        <x:v>Triumph Energy Investments (Pvt) Ltd</x:v>
      </x:c>
      <x:c r="F13" t="str">
        <x:v>CAT / Africa/Harare</x:v>
      </x:c>
      <x:c r="G13" t="str">
        <x:v>USD</x:v>
      </x:c>
      <x:c r="H13" t="str">
        <x:v>No</x:v>
      </x:c>
      <x:c r="I13" t="str">
        <x:v>To assign</x:v>
      </x:c>
      <x:c r="J13" t="str">
        <x:v>Client source</x:v>
      </x:c>
      <x:c r="K13" t="str"/>
    </x:row>
    <x:row r="14">
      <x:c r="A14" t="str">
        <x:v>Masvingo</x:v>
      </x:c>
      <x:c r="B14" t="str">
        <x:v>Client-provided Triumph Energy website/screenshot</x:v>
      </x:c>
      <x:c r="C14" t="str">
        <x:v>To confirm</x:v>
      </x:c>
      <x:c r="D14" t="str">
        <x:v>Yes</x:v>
      </x:c>
      <x:c r="E14" t="str">
        <x:v>Triumph Energy Investments (Pvt) Ltd</x:v>
      </x:c>
      <x:c r="F14" t="str">
        <x:v>CAT / Africa/Harare</x:v>
      </x:c>
      <x:c r="G14" t="str">
        <x:v>USD</x:v>
      </x:c>
      <x:c r="H14" t="str">
        <x:v>No</x:v>
      </x:c>
      <x:c r="I14" t="str">
        <x:v>To assign</x:v>
      </x:c>
      <x:c r="J14" t="str">
        <x:v>Client source</x:v>
      </x:c>
      <x:c r="K14" t="str"/>
    </x:row>
    <x:row r="15">
      <x:c r="A15" t="str">
        <x:v>Bulawayo</x:v>
      </x:c>
      <x:c r="B15" t="str">
        <x:v>Client-provided Triumph Energy website/screenshot</x:v>
      </x:c>
      <x:c r="C15" t="str">
        <x:v>To confirm</x:v>
      </x:c>
      <x:c r="D15" t="str">
        <x:v>Yes</x:v>
      </x:c>
      <x:c r="E15" t="str">
        <x:v>Triumph Energy Investments (Pvt) Ltd</x:v>
      </x:c>
      <x:c r="F15" t="str">
        <x:v>CAT / Africa/Harare</x:v>
      </x:c>
      <x:c r="G15" t="str">
        <x:v>USD</x:v>
      </x:c>
      <x:c r="H15" t="str">
        <x:v>No</x:v>
      </x:c>
      <x:c r="I15" t="str">
        <x:v>To assign</x:v>
      </x:c>
      <x:c r="J15" t="str">
        <x:v>Client source</x:v>
      </x:c>
      <x:c r="K15" t="str"/>
    </x:row>
    <x:row r="18">
      <x:c r="A18" s="24" t="str">
        <x:v>External verification note</x:v>
      </x:c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  <x:c r="K18" s="24" t="str"/>
    </x:row>
    <x:row r="19">
      <x:c r="A19" s="20" t="str">
        <x:v>Current ZERA public register</x:v>
      </x:c>
      <x:c r="B19" s="20" t="str">
        <x:v>https://www.zera.co.zw/liquid-fuels-licensees/</x:v>
      </x:c>
      <x:c r="C19" s="20" t="str"/>
      <x:c r="D19" s="20" t="str"/>
      <x:c r="E19" s="20" t="str"/>
      <x:c r="F19" s="20" t="str"/>
      <x:c r="G19" s="20" t="str"/>
      <x:c r="H19" s="20" t="str"/>
      <x:c r="I19" s="20" t="str"/>
      <x:c r="J19" s="20" t="str"/>
      <x:c r="K19" s="20" t="str">
        <x:v>Public source lists TEI Oils retail licences including Goromonzi, Bindura, Hwedza and Hatfield, plus a TEI procurement licence. Reconcile rather than replace client list.</x:v>
      </x:c>
    </x:row>
    <x:row r="20">
      <x:c r="A20" s="20" t="str">
        <x:v>Triumph Energy website</x:v>
      </x:c>
      <x:c r="B20" s="20" t="str">
        <x:v>https://www.triumphenergy.org</x:v>
      </x:c>
      <x:c r="C20" s="20" t="str"/>
      <x:c r="D20" s="20" t="str"/>
      <x:c r="E20" s="20" t="str"/>
      <x:c r="F20" s="20" t="str"/>
      <x:c r="G20" s="20" t="str"/>
      <x:c r="H20" s="20" t="str"/>
      <x:c r="I20" s="20" t="str"/>
      <x:c r="J20" s="20" t="str"/>
      <x:c r="K20" s="20" t="str">
        <x:v>Use as discovery/context source.</x:v>
      </x:c>
    </x:row>
    <x:row r="21">
      <x:c r="A21" s="20" t="str">
        <x:v>Rule</x:v>
      </x:c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  <x:c r="J21" s="20" t="str"/>
      <x:c r="K21" s="20" t="str">
        <x:v>Do not block development on final station verification. Require final active station list before production onboarding.</x:v>
      </x:c>
    </x:row>
  </x:sheetData>
  <x:mergeCells>
    <x:mergeCell ref="A1:K1"/>
    <x:mergeCell ref="A2:K2"/>
  </x:mergeCells>
  <x:dataValidations count="4">
    <x:dataValidation type="list" sqref="C5:C15">
      <x:formula1>"Retail station,Depot,Office,Other,To confirm"</x:formula1>
    </x:dataValidation>
    <x:dataValidation type="list" sqref="D5:D15">
      <x:formula1>"Yes,No,To confirm"</x:formula1>
    </x:dataValidation>
    <x:dataValidation type="list" sqref="H5:H15">
      <x:formula1>"Yes,No"</x:formula1>
    </x:dataValidation>
    <x:dataValidation type="list" sqref="I5:I15">
      <x:formula1>"Pilot,Phase 2,Phase 3,Later,To assign"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4ae7e1dfb349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12" hidden="0" customWidth="1"/>
    <x:col min="7" max="7" width="16" hidden="0" customWidth="1"/>
    <x:col min="8" max="8" width="22" hidden="0" customWidth="1"/>
    <x:col min="9" max="9" width="38" hidden="0" customWidth="1"/>
  </x:cols>
  <x:sheetData>
    <x:row r="1" ht="28" customHeight="1">
      <x:c r="A1" s="4" t="str">
        <x:v>Pilot &amp; Rollout Capture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The system can be built without selecting the pilot now; this sheet becomes a go-live gate.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6" t="str">
        <x:v>Candidate Location</x:v>
      </x:c>
      <x:c r="B4" s="16" t="str">
        <x:v>Selected Pilot?</x:v>
      </x:c>
      <x:c r="C4" s="16" t="str">
        <x:v>Client Pilot Owner</x:v>
      </x:c>
      <x:c r="D4" s="16" t="str">
        <x:v>Supervisor Lead</x:v>
      </x:c>
      <x:c r="E4" s="16" t="str">
        <x:v>Finance Lead</x:v>
      </x:c>
      <x:c r="F4" s="16" t="str">
        <x:v>Shadow Days</x:v>
      </x:c>
      <x:c r="G4" s="16" t="str">
        <x:v>Target Start</x:v>
      </x:c>
      <x:c r="H4" s="16" t="str">
        <x:v>Exit Sign-off Owner</x:v>
      </x:c>
      <x:c r="I4" s="16" t="str">
        <x:v>Notes</x:v>
      </x:c>
    </x:row>
    <x:row r="5">
      <x:c r="A5" t="str">
        <x:v>Sandawana</x:v>
      </x:c>
      <x:c r="B5" t="str">
        <x:v>No</x:v>
      </x:c>
      <x:c r="C5" t="str"/>
      <x:c r="D5" t="str"/>
      <x:c r="E5" t="str"/>
      <x:c r="F5" t="str">
        <x:v>7–14</x:v>
      </x:c>
      <x:c r="G5" t="str"/>
      <x:c r="H5" t="str"/>
      <x:c r="I5" t="str"/>
    </x:row>
    <x:row r="6">
      <x:c r="A6" t="str">
        <x:v>Hwange</x:v>
      </x:c>
      <x:c r="B6" t="str">
        <x:v>No</x:v>
      </x:c>
      <x:c r="C6" t="str"/>
      <x:c r="D6" t="str"/>
      <x:c r="E6" t="str"/>
      <x:c r="F6" t="str">
        <x:v>7–14</x:v>
      </x:c>
      <x:c r="G6" t="str"/>
      <x:c r="H6" t="str"/>
      <x:c r="I6" t="str"/>
    </x:row>
    <x:row r="7">
      <x:c r="A7" t="str">
        <x:v>Bindura</x:v>
      </x:c>
      <x:c r="B7" t="str">
        <x:v>No</x:v>
      </x:c>
      <x:c r="C7" t="str"/>
      <x:c r="D7" t="str"/>
      <x:c r="E7" t="str"/>
      <x:c r="F7" t="str">
        <x:v>7–14</x:v>
      </x:c>
      <x:c r="G7" t="str"/>
      <x:c r="H7" t="str"/>
      <x:c r="I7" t="str"/>
    </x:row>
    <x:row r="8">
      <x:c r="A8" t="str">
        <x:v>Makaha</x:v>
      </x:c>
      <x:c r="B8" t="str">
        <x:v>No</x:v>
      </x:c>
      <x:c r="C8" t="str"/>
      <x:c r="D8" t="str"/>
      <x:c r="E8" t="str"/>
      <x:c r="F8" t="str">
        <x:v>7–14</x:v>
      </x:c>
      <x:c r="G8" t="str"/>
      <x:c r="H8" t="str"/>
      <x:c r="I8" t="str"/>
    </x:row>
    <x:row r="9">
      <x:c r="A9" t="str">
        <x:v>Kwekwe</x:v>
      </x:c>
      <x:c r="B9" t="str">
        <x:v>No</x:v>
      </x:c>
      <x:c r="C9" t="str"/>
      <x:c r="D9" t="str"/>
      <x:c r="E9" t="str"/>
      <x:c r="F9" t="str">
        <x:v>7–14</x:v>
      </x:c>
      <x:c r="G9" t="str"/>
      <x:c r="H9" t="str"/>
      <x:c r="I9" t="str"/>
    </x:row>
    <x:row r="10">
      <x:c r="A10" t="str">
        <x:v>Kadoma</x:v>
      </x:c>
      <x:c r="B10" t="str">
        <x:v>No</x:v>
      </x:c>
      <x:c r="C10" t="str"/>
      <x:c r="D10" t="str"/>
      <x:c r="E10" t="str"/>
      <x:c r="F10" t="str">
        <x:v>7–14</x:v>
      </x:c>
      <x:c r="G10" t="str"/>
      <x:c r="H10" t="str"/>
      <x:c r="I10" t="str"/>
    </x:row>
    <x:row r="11">
      <x:c r="A11" t="str">
        <x:v>Gweru</x:v>
      </x:c>
      <x:c r="B11" t="str">
        <x:v>No</x:v>
      </x:c>
      <x:c r="C11" t="str"/>
      <x:c r="D11" t="str"/>
      <x:c r="E11" t="str"/>
      <x:c r="F11" t="str">
        <x:v>7–14</x:v>
      </x:c>
      <x:c r="G11" t="str"/>
      <x:c r="H11" t="str"/>
      <x:c r="I11" t="str"/>
    </x:row>
    <x:row r="12">
      <x:c r="A12" t="str">
        <x:v>Harare</x:v>
      </x:c>
      <x:c r="B12" t="str">
        <x:v>No</x:v>
      </x:c>
      <x:c r="C12" t="str"/>
      <x:c r="D12" t="str"/>
      <x:c r="E12" t="str"/>
      <x:c r="F12" t="str">
        <x:v>7–14</x:v>
      </x:c>
      <x:c r="G12" t="str"/>
      <x:c r="H12" t="str"/>
      <x:c r="I12" t="str"/>
    </x:row>
    <x:row r="13">
      <x:c r="A13" t="str">
        <x:v>Mutare</x:v>
      </x:c>
      <x:c r="B13" t="str">
        <x:v>No</x:v>
      </x:c>
      <x:c r="C13" t="str"/>
      <x:c r="D13" t="str"/>
      <x:c r="E13" t="str"/>
      <x:c r="F13" t="str">
        <x:v>7–14</x:v>
      </x:c>
      <x:c r="G13" t="str"/>
      <x:c r="H13" t="str"/>
      <x:c r="I13" t="str"/>
    </x:row>
    <x:row r="14">
      <x:c r="A14" t="str">
        <x:v>Masvingo</x:v>
      </x:c>
      <x:c r="B14" t="str">
        <x:v>No</x:v>
      </x:c>
      <x:c r="C14" t="str"/>
      <x:c r="D14" t="str"/>
      <x:c r="E14" t="str"/>
      <x:c r="F14" t="str">
        <x:v>7–14</x:v>
      </x:c>
      <x:c r="G14" t="str"/>
      <x:c r="H14" t="str"/>
      <x:c r="I14" t="str"/>
    </x:row>
    <x:row r="15">
      <x:c r="A15" t="str">
        <x:v>Bulawayo</x:v>
      </x:c>
      <x:c r="B15" t="str">
        <x:v>No</x:v>
      </x:c>
      <x:c r="C15" t="str"/>
      <x:c r="D15" t="str"/>
      <x:c r="E15" t="str"/>
      <x:c r="F15" t="str">
        <x:v>7–14</x:v>
      </x:c>
      <x:c r="G15" t="str"/>
      <x:c r="H15" t="str"/>
      <x:c r="I15" t="str"/>
    </x:row>
    <x:row r="18">
      <x:c r="A18" s="24" t="str">
        <x:v>Recommended pilot exit criteria</x:v>
      </x:c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</x:row>
    <x:row r="19">
      <x:c r="A19" t="str">
        <x:v>1</x:v>
      </x:c>
      <x:c r="B19" t="str">
        <x:v>7 clean operating days</x:v>
      </x:c>
      <x:c r="C19" t="str"/>
      <x:c r="D19" t="str"/>
      <x:c r="E19" t="str"/>
      <x:c r="F19" t="str"/>
      <x:c r="G19" t="str"/>
      <x:c r="H19" t="str"/>
      <x:c r="I19" t="str"/>
    </x:row>
    <x:row r="20">
      <x:c r="A20" t="str">
        <x:v>2</x:v>
      </x:c>
      <x:c r="B20" t="str">
        <x:v>No critical unresolved defects</x:v>
      </x:c>
      <x:c r="C20" t="str"/>
      <x:c r="D20" t="str"/>
      <x:c r="E20" t="str"/>
      <x:c r="F20" t="str"/>
      <x:c r="G20" t="str"/>
      <x:c r="H20" t="str"/>
      <x:c r="I20" t="str"/>
    </x:row>
    <x:row r="21">
      <x:c r="A21" t="str">
        <x:v>3</x:v>
      </x:c>
      <x:c r="B21" t="str">
        <x:v>Cash, delivery, stock and profit formulas signed off</x:v>
      </x:c>
      <x:c r="C21" t="str"/>
      <x:c r="D21" t="str"/>
      <x:c r="E21" t="str"/>
      <x:c r="F21" t="str"/>
      <x:c r="G21" t="str"/>
      <x:c r="H21" t="str"/>
      <x:c r="I21" t="str"/>
    </x:row>
    <x:row r="22">
      <x:c r="A22" t="str">
        <x:v>4</x:v>
      </x:c>
      <x:c r="B22" t="str">
        <x:v>Restore test completed and users trained</x:v>
      </x:c>
      <x:c r="C22" t="str"/>
      <x:c r="D22" t="str"/>
      <x:c r="E22" t="str"/>
      <x:c r="F22" t="str"/>
      <x:c r="G22" t="str"/>
      <x:c r="H22" t="str"/>
      <x:c r="I22" t="str"/>
    </x:row>
  </x:sheetData>
  <x:mergeCells>
    <x:mergeCell ref="A1:I1"/>
    <x:mergeCell ref="A2:I2"/>
  </x:mergeCells>
  <x:dataValidations count="1">
    <x:dataValidation type="list" sqref="B5:B1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ba90d4337d45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4" hidden="0" customWidth="1"/>
    <x:col min="9" max="9" width="11" hidden="0" customWidth="1"/>
    <x:col min="10" max="10" width="44" hidden="0" customWidth="1"/>
  </x:cols>
  <x:sheetData>
    <x:row r="1" ht="28" customHeight="1">
      <x:c r="A1" s="4" t="str">
        <x:v>Shift Templates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Confirmed rule: shifts are configurable per station; default duration is 8 hours. Clock times below are starter templates only and may be changed.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6" t="str">
        <x:v>Scope</x:v>
      </x:c>
      <x:c r="B4" s="16" t="str">
        <x:v>Template Code</x:v>
      </x:c>
      <x:c r="C4" s="16" t="str">
        <x:v>Template Name</x:v>
      </x:c>
      <x:c r="D4" s="16" t="str">
        <x:v>Start Time</x:v>
      </x:c>
      <x:c r="E4" s="16" t="str">
        <x:v>End Time</x:v>
      </x:c>
      <x:c r="F4" s="16" t="str">
        <x:v>Default Duration (h)</x:v>
      </x:c>
      <x:c r="G4" s="16" t="str">
        <x:v>Overnight?</x:v>
      </x:c>
      <x:c r="H4" s="16" t="str">
        <x:v>Effective From</x:v>
      </x:c>
      <x:c r="I4" s="16" t="str">
        <x:v>Active?</x:v>
      </x:c>
      <x:c r="J4" s="16" t="str">
        <x:v>Notes</x:v>
      </x:c>
    </x:row>
    <x:row r="5">
      <x:c r="A5" t="str">
        <x:v>All stations</x:v>
      </x:c>
      <x:c r="B5" t="str">
        <x:v>SHIFT_1</x:v>
      </x:c>
      <x:c r="C5" t="str">
        <x:v>Shift 1</x:v>
      </x:c>
      <x:c r="D5" t="str">
        <x:v>00:00</x:v>
      </x:c>
      <x:c r="E5" t="str">
        <x:v>08:00</x:v>
      </x:c>
      <x:c r="F5" t="n">
        <x:v>8</x:v>
      </x:c>
      <x:c r="G5" t="str">
        <x:v>No</x:v>
      </x:c>
      <x:c r="H5" t="str"/>
      <x:c r="I5" t="str">
        <x:v>Yes</x:v>
      </x:c>
      <x:c r="J5" t="str">
        <x:v>Starter template; clock times configurable</x:v>
      </x:c>
    </x:row>
    <x:row r="6">
      <x:c r="A6" t="str">
        <x:v>All stations</x:v>
      </x:c>
      <x:c r="B6" t="str">
        <x:v>SHIFT_2</x:v>
      </x:c>
      <x:c r="C6" t="str">
        <x:v>Shift 2</x:v>
      </x:c>
      <x:c r="D6" t="str">
        <x:v>08:00</x:v>
      </x:c>
      <x:c r="E6" t="str">
        <x:v>16:00</x:v>
      </x:c>
      <x:c r="F6" t="n">
        <x:v>8</x:v>
      </x:c>
      <x:c r="G6" t="str">
        <x:v>No</x:v>
      </x:c>
      <x:c r="H6" t="str"/>
      <x:c r="I6" t="str">
        <x:v>Yes</x:v>
      </x:c>
      <x:c r="J6" t="str">
        <x:v>Starter template; clock times configurable</x:v>
      </x:c>
    </x:row>
    <x:row r="7">
      <x:c r="A7" t="str">
        <x:v>All stations</x:v>
      </x:c>
      <x:c r="B7" t="str">
        <x:v>SHIFT_3</x:v>
      </x:c>
      <x:c r="C7" t="str">
        <x:v>Shift 3</x:v>
      </x:c>
      <x:c r="D7" t="str">
        <x:v>16:00</x:v>
      </x:c>
      <x:c r="E7" t="str">
        <x:v>00:00</x:v>
      </x:c>
      <x:c r="F7" t="n">
        <x:v>8</x:v>
      </x:c>
      <x:c r="G7" t="str">
        <x:v>Yes</x:v>
      </x:c>
      <x:c r="H7" t="str"/>
      <x:c r="I7" t="str">
        <x:v>Yes</x:v>
      </x:c>
      <x:c r="J7" t="str">
        <x:v>Overnight shift belongs to start business date</x:v>
      </x:c>
    </x:row>
    <x:row r="10">
      <x:c r="A10" s="24" t="str">
        <x:v>Operational defaults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</x:row>
    <x:row r="11">
      <x:c r="A11" s="20" t="str">
        <x:v>Backdating</x:v>
      </x:c>
      <x:c r="B11" s="20" t="str">
        <x:v>Same business day normally allowed; older unlocked day requires reason/elevated authority</x:v>
      </x:c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</x:row>
    <x:row r="12">
      <x:c r="A12" s="20" t="str">
        <x:v>Missed shift</x:v>
      </x:c>
      <x:c r="B12" s="20" t="str">
        <x:v>Use NOT_OPERATED with mandatory reason</x:v>
      </x:c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</x:row>
    <x:row r="13">
      <x:c r="A13" s="20" t="str">
        <x:v>Supervisor on behalf</x:v>
      </x:c>
      <x:c r="B13" s="20" t="str">
        <x:v>Allowed with explicit ON_BEHALF_OF attribution</x:v>
      </x:c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</x:row>
  </x:sheetData>
  <x:mergeCells>
    <x:mergeCell ref="A1:J1"/>
    <x:mergeCell ref="A2:J2"/>
  </x:mergeCells>
  <x:dataValidations count="2">
    <x:dataValidation type="list" sqref="G5:G20">
      <x:formula1>"Yes,No"</x:formula1>
    </x:dataValidation>
    <x:dataValidation type="list" sqref="I5:I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276417d14548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10" hidden="0" customWidth="1"/>
    <x:col min="5" max="5" width="14" hidden="0" customWidth="1"/>
    <x:col min="6" max="6" width="10" hidden="0" customWidth="1"/>
    <x:col min="7" max="7" width="24" hidden="0" customWidth="1"/>
    <x:col min="8" max="8" width="24" hidden="0" customWidth="1"/>
    <x:col min="9" max="9" width="20" hidden="0" customWidth="1"/>
    <x:col min="10" max="10" width="28" hidden="0" customWidth="1"/>
    <x:col min="11" max="11" width="34" hidden="0" customWidth="1"/>
  </x:cols>
  <x:sheetData>
    <x:row r="1" ht="28" customHeight="1">
      <x:c r="A1" s="4" t="str">
        <x:v>Bank Account Setup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Development is bank-neutral. Production setup needs only the real business accounts and approval rights.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6" t="str">
        <x:v>Legal Entity</x:v>
      </x:c>
      <x:c r="B4" s="16" t="str">
        <x:v>Bank</x:v>
      </x:c>
      <x:c r="C4" s="16" t="str">
        <x:v>Account Nickname</x:v>
      </x:c>
      <x:c r="D4" s="16" t="str">
        <x:v>Currency</x:v>
      </x:c>
      <x:c r="E4" s="16" t="str">
        <x:v>Last 4 Digits</x:v>
      </x:c>
      <x:c r="F4" s="16" t="str">
        <x:v>Active?</x:v>
      </x:c>
      <x:c r="G4" s="16" t="str">
        <x:v>Record Deposit Role</x:v>
      </x:c>
      <x:c r="H4" s="16" t="str">
        <x:v>Confirm Bank Receipt Role</x:v>
      </x:c>
      <x:c r="I4" s="16" t="str">
        <x:v>Deposit Proof Required?</x:v>
      </x:c>
      <x:c r="J4" s="16" t="str">
        <x:v>High-Risk Change Approval</x:v>
      </x:c>
      <x:c r="K4" s="16" t="str">
        <x:v>Notes</x:v>
      </x:c>
    </x:row>
    <x:row r="5">
      <x:c r="A5" t="str">
        <x:v>Triumph Energy Investments (Pvt) Ltd</x:v>
      </x:c>
      <x:c r="B5" t="str"/>
      <x:c r="C5" t="str"/>
      <x:c r="D5" t="str">
        <x:v>USD</x:v>
      </x:c>
      <x:c r="E5" t="str"/>
      <x:c r="F5" t="str">
        <x:v>Yes</x:v>
      </x:c>
      <x:c r="G5" t="str">
        <x:v>Finance / Supervisor by policy</x:v>
      </x:c>
      <x:c r="H5" t="str">
        <x:v>Finance / Owner</x:v>
      </x:c>
      <x:c r="I5" t="str">
        <x:v>Yes</x:v>
      </x:c>
      <x:c r="J5" t="str">
        <x:v>Owner / authorized management</x:v>
      </x:c>
      <x:c r="K5" t="str"/>
    </x:row>
    <x:row r="6">
      <x:c r="A6" t="str">
        <x:v>Triumph Energy Investments (Pvt) Ltd</x:v>
      </x:c>
      <x:c r="B6" t="str"/>
      <x:c r="C6" t="str"/>
      <x:c r="D6" t="str">
        <x:v>USD</x:v>
      </x:c>
      <x:c r="E6" t="str"/>
      <x:c r="F6" t="str">
        <x:v>Yes</x:v>
      </x:c>
      <x:c r="G6" t="str">
        <x:v>Finance / Supervisor by policy</x:v>
      </x:c>
      <x:c r="H6" t="str">
        <x:v>Finance / Owner</x:v>
      </x:c>
      <x:c r="I6" t="str">
        <x:v>Yes</x:v>
      </x:c>
      <x:c r="J6" t="str">
        <x:v>Owner / authorized management</x:v>
      </x:c>
      <x:c r="K6" t="str"/>
    </x:row>
    <x:row r="7">
      <x:c r="A7" t="str">
        <x:v>Triumph Energy Investments (Pvt) Ltd</x:v>
      </x:c>
      <x:c r="B7" t="str"/>
      <x:c r="C7" t="str"/>
      <x:c r="D7" t="str">
        <x:v>USD</x:v>
      </x:c>
      <x:c r="E7" t="str"/>
      <x:c r="F7" t="str">
        <x:v>Yes</x:v>
      </x:c>
      <x:c r="G7" t="str">
        <x:v>Finance / Supervisor by policy</x:v>
      </x:c>
      <x:c r="H7" t="str">
        <x:v>Finance / Owner</x:v>
      </x:c>
      <x:c r="I7" t="str">
        <x:v>Yes</x:v>
      </x:c>
      <x:c r="J7" t="str">
        <x:v>Owner / authorized management</x:v>
      </x:c>
      <x:c r="K7" t="str"/>
    </x:row>
    <x:row r="8">
      <x:c r="A8" t="str">
        <x:v>Triumph Energy Investments (Pvt) Ltd</x:v>
      </x:c>
      <x:c r="B8" t="str"/>
      <x:c r="C8" t="str"/>
      <x:c r="D8" t="str">
        <x:v>USD</x:v>
      </x:c>
      <x:c r="E8" t="str"/>
      <x:c r="F8" t="str">
        <x:v>Yes</x:v>
      </x:c>
      <x:c r="G8" t="str">
        <x:v>Finance / Supervisor by policy</x:v>
      </x:c>
      <x:c r="H8" t="str">
        <x:v>Finance / Owner</x:v>
      </x:c>
      <x:c r="I8" t="str">
        <x:v>Yes</x:v>
      </x:c>
      <x:c r="J8" t="str">
        <x:v>Owner / authorized management</x:v>
      </x:c>
      <x:c r="K8" t="str"/>
    </x:row>
    <x:row r="9">
      <x:c r="A9" t="str">
        <x:v>Triumph Energy Investments (Pvt) Ltd</x:v>
      </x:c>
      <x:c r="B9" t="str"/>
      <x:c r="C9" t="str"/>
      <x:c r="D9" t="str">
        <x:v>USD</x:v>
      </x:c>
      <x:c r="E9" t="str"/>
      <x:c r="F9" t="str">
        <x:v>Yes</x:v>
      </x:c>
      <x:c r="G9" t="str">
        <x:v>Finance / Supervisor by policy</x:v>
      </x:c>
      <x:c r="H9" t="str">
        <x:v>Finance / Owner</x:v>
      </x:c>
      <x:c r="I9" t="str">
        <x:v>Yes</x:v>
      </x:c>
      <x:c r="J9" t="str">
        <x:v>Owner / authorized management</x:v>
      </x:c>
      <x:c r="K9" t="str"/>
    </x:row>
    <x:row r="10">
      <x:c r="A10" t="str">
        <x:v>Triumph Energy Investments (Pvt) Ltd</x:v>
      </x:c>
      <x:c r="B10" t="str"/>
      <x:c r="C10" t="str"/>
      <x:c r="D10" t="str">
        <x:v>USD</x:v>
      </x:c>
      <x:c r="E10" t="str"/>
      <x:c r="F10" t="str">
        <x:v>Yes</x:v>
      </x:c>
      <x:c r="G10" t="str">
        <x:v>Finance / Supervisor by policy</x:v>
      </x:c>
      <x:c r="H10" t="str">
        <x:v>Finance / Owner</x:v>
      </x:c>
      <x:c r="I10" t="str">
        <x:v>Yes</x:v>
      </x:c>
      <x:c r="J10" t="str">
        <x:v>Owner / authorized management</x:v>
      </x:c>
      <x:c r="K10" t="str"/>
    </x:row>
    <x:row r="11">
      <x:c r="A11" t="str">
        <x:v>Triumph Energy Investments (Pvt) Ltd</x:v>
      </x:c>
      <x:c r="B11" t="str"/>
      <x:c r="C11" t="str"/>
      <x:c r="D11" t="str">
        <x:v>USD</x:v>
      </x:c>
      <x:c r="E11" t="str"/>
      <x:c r="F11" t="str">
        <x:v>Yes</x:v>
      </x:c>
      <x:c r="G11" t="str">
        <x:v>Finance / Supervisor by policy</x:v>
      </x:c>
      <x:c r="H11" t="str">
        <x:v>Finance / Owner</x:v>
      </x:c>
      <x:c r="I11" t="str">
        <x:v>Yes</x:v>
      </x:c>
      <x:c r="J11" t="str">
        <x:v>Owner / authorized management</x:v>
      </x:c>
      <x:c r="K11" t="str"/>
    </x:row>
    <x:row r="12">
      <x:c r="A12" t="str">
        <x:v>Triumph Energy Investments (Pvt) Ltd</x:v>
      </x:c>
      <x:c r="B12" t="str"/>
      <x:c r="C12" t="str"/>
      <x:c r="D12" t="str">
        <x:v>USD</x:v>
      </x:c>
      <x:c r="E12" t="str"/>
      <x:c r="F12" t="str">
        <x:v>Yes</x:v>
      </x:c>
      <x:c r="G12" t="str">
        <x:v>Finance / Supervisor by policy</x:v>
      </x:c>
      <x:c r="H12" t="str">
        <x:v>Finance / Owner</x:v>
      </x:c>
      <x:c r="I12" t="str">
        <x:v>Yes</x:v>
      </x:c>
      <x:c r="J12" t="str">
        <x:v>Owner / authorized management</x:v>
      </x:c>
      <x:c r="K12" t="str"/>
    </x:row>
    <x:row r="14">
      <x:c r="A14" s="24" t="str">
        <x:v>Locked V1 banking rules</x:v>
      </x:c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  <x:c r="K14" s="24" t="str"/>
    </x:row>
    <x:row r="15">
      <x:c r="A15" s="20" t="str">
        <x:v>Bank verification</x:v>
      </x:c>
      <x:c r="B15" s="20" t="str">
        <x:v>Manual Finance/Owner confirmation in V1; no direct bank integration required</x:v>
      </x:c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/>
    </x:row>
    <x:row r="16">
      <x:c r="A16" s="20" t="str">
        <x:v>Cash collected</x:v>
      </x:c>
      <x:c r="B16" s="20" t="str">
        <x:v>Never treated as banked until bank confirmation stage</x:v>
      </x:c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</x:row>
    <x:row r="17">
      <x:c r="A17" s="20" t="str">
        <x:v>Sensitive changes</x:v>
      </x:c>
      <x:c r="B17" s="20" t="str">
        <x:v>Step-up authentication + approval + audit/security event</x:v>
      </x:c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/>
    </x:row>
  </x:sheetData>
  <x:mergeCells>
    <x:mergeCell ref="A1:K1"/>
    <x:mergeCell ref="A2:K2"/>
  </x:mergeCells>
  <x:dataValidations count="2">
    <x:dataValidation type="list" sqref="F5:F30">
      <x:formula1>"Yes,No"</x:formula1>
    </x:dataValidation>
    <x:dataValidation type="list" sqref="I5:I3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07e1de12b742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8" hidden="0" customWidth="1"/>
    <x:col min="5" max="5" width="16" hidden="0" customWidth="1"/>
    <x:col min="6" max="6" width="10" hidden="0" customWidth="1"/>
    <x:col min="7" max="7" width="20" hidden="0" customWidth="1"/>
    <x:col min="8" max="8" width="20" hidden="0" customWidth="1"/>
    <x:col min="9" max="9" width="12" hidden="0" customWidth="1"/>
    <x:col min="10" max="10" width="14" hidden="0" customWidth="1"/>
    <x:col min="11" max="11" width="12" hidden="0" customWidth="1"/>
    <x:col min="12" max="12" width="10" hidden="0" customWidth="1"/>
    <x:col min="13" max="13" width="32" hidden="0" customWidth="1"/>
  </x:cols>
  <x:sheetData>
    <x:row r="1" ht="28" customHeight="1">
      <x:c r="A1" s="4" t="str">
        <x:v>POS / EcoCash / Electronic Payment Channels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0" t="str">
        <x:v>Capture actual providers, merchant/terminal identifiers and settlement behavior. The system supports partial settlement, fees, refunds, reversals and chargebacks.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>
      <x:c r="A4" s="16" t="str">
        <x:v>Station / Scope</x:v>
      </x:c>
      <x:c r="B4" s="16" t="str">
        <x:v>Channel Type</x:v>
      </x:c>
      <x:c r="C4" s="16" t="str">
        <x:v>Provider</x:v>
      </x:c>
      <x:c r="D4" s="16" t="str">
        <x:v>Merchant ID</x:v>
      </x:c>
      <x:c r="E4" s="16" t="str">
        <x:v>Terminal ID</x:v>
      </x:c>
      <x:c r="F4" s="16" t="str">
        <x:v>Currency</x:v>
      </x:c>
      <x:c r="G4" s="16" t="str">
        <x:v>Settlement Bank</x:v>
      </x:c>
      <x:c r="H4" s="16" t="str">
        <x:v>Expected Settlement Days</x:v>
      </x:c>
      <x:c r="I4" s="16" t="str">
        <x:v>Grace Days</x:v>
      </x:c>
      <x:c r="J4" s="16" t="str">
        <x:v>Fee Type</x:v>
      </x:c>
      <x:c r="K4" s="16" t="str">
        <x:v>Fee Value</x:v>
      </x:c>
      <x:c r="L4" s="16" t="str">
        <x:v>Active?</x:v>
      </x:c>
      <x:c r="M4" s="16" t="str">
        <x:v>Notes</x:v>
      </x:c>
    </x:row>
    <x:row r="5">
      <x:c r="A5" t="str">
        <x:v>Sandawana</x:v>
      </x:c>
      <x:c r="B5" t="str">
        <x:v>POS</x:v>
      </x:c>
      <x:c r="C5" t="str"/>
      <x:c r="D5" t="str"/>
      <x:c r="E5" t="str"/>
      <x:c r="F5" t="str">
        <x:v>USD</x:v>
      </x:c>
      <x:c r="G5" t="str"/>
      <x:c r="H5" t="str"/>
      <x:c r="I5" t="n">
        <x:v>1</x:v>
      </x:c>
      <x:c r="J5" t="str">
        <x:v>To confirm</x:v>
      </x:c>
      <x:c r="K5" t="str"/>
      <x:c r="L5" t="str">
        <x:v>Yes</x:v>
      </x:c>
      <x:c r="M5" t="str"/>
    </x:row>
    <x:row r="6">
      <x:c r="A6" t="str">
        <x:v>Sandawana</x:v>
      </x:c>
      <x:c r="B6" t="str">
        <x:v>EcoCash</x:v>
      </x:c>
      <x:c r="C6" t="str"/>
      <x:c r="D6" t="str"/>
      <x:c r="E6" t="str"/>
      <x:c r="F6" t="str">
        <x:v>USD</x:v>
      </x:c>
      <x:c r="G6" t="str"/>
      <x:c r="H6" t="str"/>
      <x:c r="I6" t="str"/>
      <x:c r="J6" t="str">
        <x:v>To confirm</x:v>
      </x:c>
      <x:c r="K6" t="str"/>
      <x:c r="L6" t="str">
        <x:v>Yes</x:v>
      </x:c>
      <x:c r="M6" t="str"/>
    </x:row>
    <x:row r="7">
      <x:c r="A7" t="str">
        <x:v>Hwange</x:v>
      </x:c>
      <x:c r="B7" t="str">
        <x:v>POS</x:v>
      </x:c>
      <x:c r="C7" t="str"/>
      <x:c r="D7" t="str"/>
      <x:c r="E7" t="str"/>
      <x:c r="F7" t="str">
        <x:v>USD</x:v>
      </x:c>
      <x:c r="G7" t="str"/>
      <x:c r="H7" t="str"/>
      <x:c r="I7" t="n">
        <x:v>1</x:v>
      </x:c>
      <x:c r="J7" t="str">
        <x:v>To confirm</x:v>
      </x:c>
      <x:c r="K7" t="str"/>
      <x:c r="L7" t="str">
        <x:v>Yes</x:v>
      </x:c>
      <x:c r="M7" t="str"/>
    </x:row>
    <x:row r="8">
      <x:c r="A8" t="str">
        <x:v>Hwange</x:v>
      </x:c>
      <x:c r="B8" t="str">
        <x:v>EcoCash</x:v>
      </x:c>
      <x:c r="C8" t="str"/>
      <x:c r="D8" t="str"/>
      <x:c r="E8" t="str"/>
      <x:c r="F8" t="str">
        <x:v>USD</x:v>
      </x:c>
      <x:c r="G8" t="str"/>
      <x:c r="H8" t="str"/>
      <x:c r="I8" t="str"/>
      <x:c r="J8" t="str">
        <x:v>To confirm</x:v>
      </x:c>
      <x:c r="K8" t="str"/>
      <x:c r="L8" t="str">
        <x:v>Yes</x:v>
      </x:c>
      <x:c r="M8" t="str"/>
    </x:row>
    <x:row r="9">
      <x:c r="A9" t="str">
        <x:v>Bindura</x:v>
      </x:c>
      <x:c r="B9" t="str">
        <x:v>POS</x:v>
      </x:c>
      <x:c r="C9" t="str"/>
      <x:c r="D9" t="str"/>
      <x:c r="E9" t="str"/>
      <x:c r="F9" t="str">
        <x:v>USD</x:v>
      </x:c>
      <x:c r="G9" t="str"/>
      <x:c r="H9" t="str"/>
      <x:c r="I9" t="n">
        <x:v>1</x:v>
      </x:c>
      <x:c r="J9" t="str">
        <x:v>To confirm</x:v>
      </x:c>
      <x:c r="K9" t="str"/>
      <x:c r="L9" t="str">
        <x:v>Yes</x:v>
      </x:c>
      <x:c r="M9" t="str"/>
    </x:row>
    <x:row r="10">
      <x:c r="A10" t="str">
        <x:v>Bindura</x:v>
      </x:c>
      <x:c r="B10" t="str">
        <x:v>EcoCash</x:v>
      </x:c>
      <x:c r="C10" t="str"/>
      <x:c r="D10" t="str"/>
      <x:c r="E10" t="str"/>
      <x:c r="F10" t="str">
        <x:v>USD</x:v>
      </x:c>
      <x:c r="G10" t="str"/>
      <x:c r="H10" t="str"/>
      <x:c r="I10" t="str"/>
      <x:c r="J10" t="str">
        <x:v>To confirm</x:v>
      </x:c>
      <x:c r="K10" t="str"/>
      <x:c r="L10" t="str">
        <x:v>Yes</x:v>
      </x:c>
      <x:c r="M10" t="str"/>
    </x:row>
    <x:row r="11">
      <x:c r="A11" t="str">
        <x:v>Makaha</x:v>
      </x:c>
      <x:c r="B11" t="str">
        <x:v>POS</x:v>
      </x:c>
      <x:c r="C11" t="str"/>
      <x:c r="D11" t="str"/>
      <x:c r="E11" t="str"/>
      <x:c r="F11" t="str">
        <x:v>USD</x:v>
      </x:c>
      <x:c r="G11" t="str"/>
      <x:c r="H11" t="str"/>
      <x:c r="I11" t="n">
        <x:v>1</x:v>
      </x:c>
      <x:c r="J11" t="str">
        <x:v>To confirm</x:v>
      </x:c>
      <x:c r="K11" t="str"/>
      <x:c r="L11" t="str">
        <x:v>Yes</x:v>
      </x:c>
      <x:c r="M11" t="str"/>
    </x:row>
    <x:row r="12">
      <x:c r="A12" t="str">
        <x:v>Makaha</x:v>
      </x:c>
      <x:c r="B12" t="str">
        <x:v>EcoCash</x:v>
      </x:c>
      <x:c r="C12" t="str"/>
      <x:c r="D12" t="str"/>
      <x:c r="E12" t="str"/>
      <x:c r="F12" t="str">
        <x:v>USD</x:v>
      </x:c>
      <x:c r="G12" t="str"/>
      <x:c r="H12" t="str"/>
      <x:c r="I12" t="str"/>
      <x:c r="J12" t="str">
        <x:v>To confirm</x:v>
      </x:c>
      <x:c r="K12" t="str"/>
      <x:c r="L12" t="str">
        <x:v>Yes</x:v>
      </x:c>
      <x:c r="M12" t="str"/>
    </x:row>
    <x:row r="13">
      <x:c r="A13" t="str">
        <x:v>Kwekwe</x:v>
      </x:c>
      <x:c r="B13" t="str">
        <x:v>POS</x:v>
      </x:c>
      <x:c r="C13" t="str"/>
      <x:c r="D13" t="str"/>
      <x:c r="E13" t="str"/>
      <x:c r="F13" t="str">
        <x:v>USD</x:v>
      </x:c>
      <x:c r="G13" t="str"/>
      <x:c r="H13" t="str"/>
      <x:c r="I13" t="n">
        <x:v>1</x:v>
      </x:c>
      <x:c r="J13" t="str">
        <x:v>To confirm</x:v>
      </x:c>
      <x:c r="K13" t="str"/>
      <x:c r="L13" t="str">
        <x:v>Yes</x:v>
      </x:c>
      <x:c r="M13" t="str"/>
    </x:row>
    <x:row r="14">
      <x:c r="A14" t="str">
        <x:v>Kwekwe</x:v>
      </x:c>
      <x:c r="B14" t="str">
        <x:v>EcoCash</x:v>
      </x:c>
      <x:c r="C14" t="str"/>
      <x:c r="D14" t="str"/>
      <x:c r="E14" t="str"/>
      <x:c r="F14" t="str">
        <x:v>USD</x:v>
      </x:c>
      <x:c r="G14" t="str"/>
      <x:c r="H14" t="str"/>
      <x:c r="I14" t="str"/>
      <x:c r="J14" t="str">
        <x:v>To confirm</x:v>
      </x:c>
      <x:c r="K14" t="str"/>
      <x:c r="L14" t="str">
        <x:v>Yes</x:v>
      </x:c>
      <x:c r="M14" t="str"/>
    </x:row>
    <x:row r="15">
      <x:c r="A15" t="str">
        <x:v>Kadoma</x:v>
      </x:c>
      <x:c r="B15" t="str">
        <x:v>POS</x:v>
      </x:c>
      <x:c r="C15" t="str"/>
      <x:c r="D15" t="str"/>
      <x:c r="E15" t="str"/>
      <x:c r="F15" t="str">
        <x:v>USD</x:v>
      </x:c>
      <x:c r="G15" t="str"/>
      <x:c r="H15" t="str"/>
      <x:c r="I15" t="n">
        <x:v>1</x:v>
      </x:c>
      <x:c r="J15" t="str">
        <x:v>To confirm</x:v>
      </x:c>
      <x:c r="K15" t="str"/>
      <x:c r="L15" t="str">
        <x:v>Yes</x:v>
      </x:c>
      <x:c r="M15" t="str"/>
    </x:row>
    <x:row r="16">
      <x:c r="A16" t="str">
        <x:v>Kadoma</x:v>
      </x:c>
      <x:c r="B16" t="str">
        <x:v>EcoCash</x:v>
      </x:c>
      <x:c r="C16" t="str"/>
      <x:c r="D16" t="str"/>
      <x:c r="E16" t="str"/>
      <x:c r="F16" t="str">
        <x:v>USD</x:v>
      </x:c>
      <x:c r="G16" t="str"/>
      <x:c r="H16" t="str"/>
      <x:c r="I16" t="str"/>
      <x:c r="J16" t="str">
        <x:v>To confirm</x:v>
      </x:c>
      <x:c r="K16" t="str"/>
      <x:c r="L16" t="str">
        <x:v>Yes</x:v>
      </x:c>
      <x:c r="M16" t="str"/>
    </x:row>
    <x:row r="17">
      <x:c r="A17" t="str">
        <x:v>Gweru</x:v>
      </x:c>
      <x:c r="B17" t="str">
        <x:v>POS</x:v>
      </x:c>
      <x:c r="C17" t="str"/>
      <x:c r="D17" t="str"/>
      <x:c r="E17" t="str"/>
      <x:c r="F17" t="str">
        <x:v>USD</x:v>
      </x:c>
      <x:c r="G17" t="str"/>
      <x:c r="H17" t="str"/>
      <x:c r="I17" t="n">
        <x:v>1</x:v>
      </x:c>
      <x:c r="J17" t="str">
        <x:v>To confirm</x:v>
      </x:c>
      <x:c r="K17" t="str"/>
      <x:c r="L17" t="str">
        <x:v>Yes</x:v>
      </x:c>
      <x:c r="M17" t="str"/>
    </x:row>
    <x:row r="18">
      <x:c r="A18" t="str">
        <x:v>Gweru</x:v>
      </x:c>
      <x:c r="B18" t="str">
        <x:v>EcoCash</x:v>
      </x:c>
      <x:c r="C18" t="str"/>
      <x:c r="D18" t="str"/>
      <x:c r="E18" t="str"/>
      <x:c r="F18" t="str">
        <x:v>USD</x:v>
      </x:c>
      <x:c r="G18" t="str"/>
      <x:c r="H18" t="str"/>
      <x:c r="I18" t="str"/>
      <x:c r="J18" t="str">
        <x:v>To confirm</x:v>
      </x:c>
      <x:c r="K18" t="str"/>
      <x:c r="L18" t="str">
        <x:v>Yes</x:v>
      </x:c>
      <x:c r="M18" t="str"/>
    </x:row>
    <x:row r="19">
      <x:c r="A19" t="str">
        <x:v>Harare</x:v>
      </x:c>
      <x:c r="B19" t="str">
        <x:v>POS</x:v>
      </x:c>
      <x:c r="C19" t="str"/>
      <x:c r="D19" t="str"/>
      <x:c r="E19" t="str"/>
      <x:c r="F19" t="str">
        <x:v>USD</x:v>
      </x:c>
      <x:c r="G19" t="str"/>
      <x:c r="H19" t="str"/>
      <x:c r="I19" t="n">
        <x:v>1</x:v>
      </x:c>
      <x:c r="J19" t="str">
        <x:v>To confirm</x:v>
      </x:c>
      <x:c r="K19" t="str"/>
      <x:c r="L19" t="str">
        <x:v>Yes</x:v>
      </x:c>
      <x:c r="M19" t="str"/>
    </x:row>
    <x:row r="20">
      <x:c r="A20" t="str">
        <x:v>Harare</x:v>
      </x:c>
      <x:c r="B20" t="str">
        <x:v>EcoCash</x:v>
      </x:c>
      <x:c r="C20" t="str"/>
      <x:c r="D20" t="str"/>
      <x:c r="E20" t="str"/>
      <x:c r="F20" t="str">
        <x:v>USD</x:v>
      </x:c>
      <x:c r="G20" t="str"/>
      <x:c r="H20" t="str"/>
      <x:c r="I20" t="str"/>
      <x:c r="J20" t="str">
        <x:v>To confirm</x:v>
      </x:c>
      <x:c r="K20" t="str"/>
      <x:c r="L20" t="str">
        <x:v>Yes</x:v>
      </x:c>
      <x:c r="M20" t="str"/>
    </x:row>
    <x:row r="21">
      <x:c r="A21" t="str">
        <x:v>Mutare</x:v>
      </x:c>
      <x:c r="B21" t="str">
        <x:v>POS</x:v>
      </x:c>
      <x:c r="C21" t="str"/>
      <x:c r="D21" t="str"/>
      <x:c r="E21" t="str"/>
      <x:c r="F21" t="str">
        <x:v>USD</x:v>
      </x:c>
      <x:c r="G21" t="str"/>
      <x:c r="H21" t="str"/>
      <x:c r="I21" t="n">
        <x:v>1</x:v>
      </x:c>
      <x:c r="J21" t="str">
        <x:v>To confirm</x:v>
      </x:c>
      <x:c r="K21" t="str"/>
      <x:c r="L21" t="str">
        <x:v>Yes</x:v>
      </x:c>
      <x:c r="M21" t="str"/>
    </x:row>
    <x:row r="22">
      <x:c r="A22" t="str">
        <x:v>Mutare</x:v>
      </x:c>
      <x:c r="B22" t="str">
        <x:v>EcoCash</x:v>
      </x:c>
      <x:c r="C22" t="str"/>
      <x:c r="D22" t="str"/>
      <x:c r="E22" t="str"/>
      <x:c r="F22" t="str">
        <x:v>USD</x:v>
      </x:c>
      <x:c r="G22" t="str"/>
      <x:c r="H22" t="str"/>
      <x:c r="I22" t="str"/>
      <x:c r="J22" t="str">
        <x:v>To confirm</x:v>
      </x:c>
      <x:c r="K22" t="str"/>
      <x:c r="L22" t="str">
        <x:v>Yes</x:v>
      </x:c>
      <x:c r="M22" t="str"/>
    </x:row>
    <x:row r="23">
      <x:c r="A23" t="str">
        <x:v>Masvingo</x:v>
      </x:c>
      <x:c r="B23" t="str">
        <x:v>POS</x:v>
      </x:c>
      <x:c r="C23" t="str"/>
      <x:c r="D23" t="str"/>
      <x:c r="E23" t="str"/>
      <x:c r="F23" t="str">
        <x:v>USD</x:v>
      </x:c>
      <x:c r="G23" t="str"/>
      <x:c r="H23" t="str"/>
      <x:c r="I23" t="n">
        <x:v>1</x:v>
      </x:c>
      <x:c r="J23" t="str">
        <x:v>To confirm</x:v>
      </x:c>
      <x:c r="K23" t="str"/>
      <x:c r="L23" t="str">
        <x:v>Yes</x:v>
      </x:c>
      <x:c r="M23" t="str"/>
    </x:row>
    <x:row r="24">
      <x:c r="A24" t="str">
        <x:v>Masvingo</x:v>
      </x:c>
      <x:c r="B24" t="str">
        <x:v>EcoCash</x:v>
      </x:c>
      <x:c r="C24" t="str"/>
      <x:c r="D24" t="str"/>
      <x:c r="E24" t="str"/>
      <x:c r="F24" t="str">
        <x:v>USD</x:v>
      </x:c>
      <x:c r="G24" t="str"/>
      <x:c r="H24" t="str"/>
      <x:c r="I24" t="str"/>
      <x:c r="J24" t="str">
        <x:v>To confirm</x:v>
      </x:c>
      <x:c r="K24" t="str"/>
      <x:c r="L24" t="str">
        <x:v>Yes</x:v>
      </x:c>
      <x:c r="M24" t="str"/>
    </x:row>
    <x:row r="25">
      <x:c r="A25" t="str">
        <x:v>Bulawayo</x:v>
      </x:c>
      <x:c r="B25" t="str">
        <x:v>POS</x:v>
      </x:c>
      <x:c r="C25" t="str"/>
      <x:c r="D25" t="str"/>
      <x:c r="E25" t="str"/>
      <x:c r="F25" t="str">
        <x:v>USD</x:v>
      </x:c>
      <x:c r="G25" t="str"/>
      <x:c r="H25" t="str"/>
      <x:c r="I25" t="n">
        <x:v>1</x:v>
      </x:c>
      <x:c r="J25" t="str">
        <x:v>To confirm</x:v>
      </x:c>
      <x:c r="K25" t="str"/>
      <x:c r="L25" t="str">
        <x:v>Yes</x:v>
      </x:c>
      <x:c r="M25" t="str"/>
    </x:row>
    <x:row r="26">
      <x:c r="A26" t="str">
        <x:v>Bulawayo</x:v>
      </x:c>
      <x:c r="B26" t="str">
        <x:v>EcoCash</x:v>
      </x:c>
      <x:c r="C26" t="str"/>
      <x:c r="D26" t="str"/>
      <x:c r="E26" t="str"/>
      <x:c r="F26" t="str">
        <x:v>USD</x:v>
      </x:c>
      <x:c r="G26" t="str"/>
      <x:c r="H26" t="str"/>
      <x:c r="I26" t="str"/>
      <x:c r="J26" t="str">
        <x:v>To confirm</x:v>
      </x:c>
      <x:c r="K26" t="str"/>
      <x:c r="L26" t="str">
        <x:v>Yes</x:v>
      </x:c>
      <x:c r="M26" t="str"/>
    </x:row>
  </x:sheetData>
  <x:mergeCells>
    <x:mergeCell ref="A1:M1"/>
    <x:mergeCell ref="A2:M2"/>
  </x:mergeCells>
  <x:dataValidations count="3">
    <x:dataValidation type="list" sqref="B5:B26">
      <x:formula1>"POS,EcoCash,Bank Transfer,Other Electronic"</x:formula1>
    </x:dataValidation>
    <x:dataValidation type="list" sqref="J5:J26">
      <x:formula1>"Fixed,Percent,Mixed,None,To confirm"</x:formula1>
    </x:dataValidation>
    <x:dataValidation type="list" sqref="L5:L2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b47421f03c49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2" hidden="0" customWidth="1"/>
    <x:col min="5" max="5" width="18" hidden="0" customWidth="1"/>
    <x:col min="6" max="6" width="15" hidden="0" customWidth="1"/>
    <x:col min="7" max="7" width="20" hidden="0" customWidth="1"/>
    <x:col min="8" max="8" width="16" hidden="0" customWidth="1"/>
    <x:col min="9" max="9" width="18" hidden="0" customWidth="1"/>
    <x:col min="10" max="10" width="20" hidden="0" customWidth="1"/>
    <x:col min="11" max="11" width="20" hidden="0" customWidth="1"/>
    <x:col min="12" max="12" width="20" hidden="0" customWidth="1"/>
    <x:col min="13" max="13" width="14" hidden="0" customWidth="1"/>
    <x:col min="14" max="14" width="32" hidden="0" customWidth="1"/>
  </x:cols>
  <x:sheetData>
    <x:row r="1" ht="28" customHeight="1">
      <x:c r="A1" s="4" t="str">
        <x:v>Tank &amp; Inventory Pool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0" t="str">
        <x:v>Complete before pilot go-live. Book stock is held at Inventory Pool level; tank dips are physical observations.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6" t="str">
        <x:v>Station</x:v>
      </x:c>
      <x:c r="B4" s="16" t="str">
        <x:v>Tank Code</x:v>
      </x:c>
      <x:c r="C4" s="16" t="str">
        <x:v>Tank Name</x:v>
      </x:c>
      <x:c r="D4" s="16" t="str">
        <x:v>Product</x:v>
      </x:c>
      <x:c r="E4" s="16" t="str">
        <x:v>Nominal Capacity (L)</x:v>
      </x:c>
      <x:c r="F4" s="16" t="str">
        <x:v>Safe Fill (L)</x:v>
      </x:c>
      <x:c r="G4" s="16" t="str">
        <x:v>Inventory Pool</x:v>
      </x:c>
      <x:c r="H4" s="16" t="str">
        <x:v>Status</x:v>
      </x:c>
      <x:c r="I4" s="16" t="str">
        <x:v>Calibration Available?</x:v>
      </x:c>
      <x:c r="J4" s="16" t="str">
        <x:v>Calibration Method</x:v>
      </x:c>
      <x:c r="K4" s="16" t="str">
        <x:v>Normal Variance Limit (L)</x:v>
      </x:c>
      <x:c r="L4" s="16" t="str">
        <x:v>Urgent Variance Limit (L)</x:v>
      </x:c>
      <x:c r="M4" s="16" t="str">
        <x:v>Effective From</x:v>
      </x:c>
      <x:c r="N4" s="16" t="str">
        <x:v>Notes</x:v>
      </x:c>
    </x:row>
    <x:row r="5">
      <x:c r="A5" t="str">
        <x:v>Sandawana</x:v>
      </x:c>
      <x:c r="B5" t="str"/>
      <x:c r="C5" t="str"/>
      <x:c r="D5" t="str">
        <x:v>To confirm</x:v>
      </x:c>
      <x:c r="E5" t="str"/>
      <x:c r="F5" t="str"/>
      <x:c r="G5" t="str"/>
      <x:c r="H5" t="str">
        <x:v>Active</x:v>
      </x:c>
      <x:c r="I5" t="str">
        <x:v>No</x:v>
      </x:c>
      <x:c r="J5" t="str">
        <x:v>To confirm</x:v>
      </x:c>
      <x:c r="K5" t="str"/>
      <x:c r="L5" t="str"/>
      <x:c r="M5" t="str"/>
      <x:c r="N5" t="str"/>
    </x:row>
    <x:row r="6">
      <x:c r="A6" t="str">
        <x:v>Hwange</x:v>
      </x:c>
      <x:c r="B6" t="str"/>
      <x:c r="C6" t="str"/>
      <x:c r="D6" t="str">
        <x:v>To confirm</x:v>
      </x:c>
      <x:c r="E6" t="str"/>
      <x:c r="F6" t="str"/>
      <x:c r="G6" t="str"/>
      <x:c r="H6" t="str">
        <x:v>Active</x:v>
      </x:c>
      <x:c r="I6" t="str">
        <x:v>No</x:v>
      </x:c>
      <x:c r="J6" t="str">
        <x:v>To confirm</x:v>
      </x:c>
      <x:c r="K6" t="str"/>
      <x:c r="L6" t="str"/>
      <x:c r="M6" t="str"/>
      <x:c r="N6" t="str"/>
    </x:row>
    <x:row r="7">
      <x:c r="A7" t="str">
        <x:v>Bindura</x:v>
      </x:c>
      <x:c r="B7" t="str"/>
      <x:c r="C7" t="str"/>
      <x:c r="D7" t="str">
        <x:v>To confirm</x:v>
      </x:c>
      <x:c r="E7" t="str"/>
      <x:c r="F7" t="str"/>
      <x:c r="G7" t="str"/>
      <x:c r="H7" t="str">
        <x:v>Active</x:v>
      </x:c>
      <x:c r="I7" t="str">
        <x:v>No</x:v>
      </x:c>
      <x:c r="J7" t="str">
        <x:v>To confirm</x:v>
      </x:c>
      <x:c r="K7" t="str"/>
      <x:c r="L7" t="str"/>
      <x:c r="M7" t="str"/>
      <x:c r="N7" t="str"/>
    </x:row>
    <x:row r="8">
      <x:c r="A8" t="str">
        <x:v>Makaha</x:v>
      </x:c>
      <x:c r="B8" t="str"/>
      <x:c r="C8" t="str"/>
      <x:c r="D8" t="str">
        <x:v>To confirm</x:v>
      </x:c>
      <x:c r="E8" t="str"/>
      <x:c r="F8" t="str"/>
      <x:c r="G8" t="str"/>
      <x:c r="H8" t="str">
        <x:v>Active</x:v>
      </x:c>
      <x:c r="I8" t="str">
        <x:v>No</x:v>
      </x:c>
      <x:c r="J8" t="str">
        <x:v>To confirm</x:v>
      </x:c>
      <x:c r="K8" t="str"/>
      <x:c r="L8" t="str"/>
      <x:c r="M8" t="str"/>
      <x:c r="N8" t="str"/>
    </x:row>
    <x:row r="9">
      <x:c r="A9" t="str">
        <x:v>Kwekwe</x:v>
      </x:c>
      <x:c r="B9" t="str"/>
      <x:c r="C9" t="str"/>
      <x:c r="D9" t="str">
        <x:v>To confirm</x:v>
      </x:c>
      <x:c r="E9" t="str"/>
      <x:c r="F9" t="str"/>
      <x:c r="G9" t="str"/>
      <x:c r="H9" t="str">
        <x:v>Active</x:v>
      </x:c>
      <x:c r="I9" t="str">
        <x:v>No</x:v>
      </x:c>
      <x:c r="J9" t="str">
        <x:v>To confirm</x:v>
      </x:c>
      <x:c r="K9" t="str"/>
      <x:c r="L9" t="str"/>
      <x:c r="M9" t="str"/>
      <x:c r="N9" t="str"/>
    </x:row>
    <x:row r="10">
      <x:c r="A10" t="str">
        <x:v>Kadoma</x:v>
      </x:c>
      <x:c r="B10" t="str"/>
      <x:c r="C10" t="str"/>
      <x:c r="D10" t="str">
        <x:v>To confirm</x:v>
      </x:c>
      <x:c r="E10" t="str"/>
      <x:c r="F10" t="str"/>
      <x:c r="G10" t="str"/>
      <x:c r="H10" t="str">
        <x:v>Active</x:v>
      </x:c>
      <x:c r="I10" t="str">
        <x:v>No</x:v>
      </x:c>
      <x:c r="J10" t="str">
        <x:v>To confirm</x:v>
      </x:c>
      <x:c r="K10" t="str"/>
      <x:c r="L10" t="str"/>
      <x:c r="M10" t="str"/>
      <x:c r="N10" t="str"/>
    </x:row>
    <x:row r="11">
      <x:c r="A11" t="str">
        <x:v>Gweru</x:v>
      </x:c>
      <x:c r="B11" t="str"/>
      <x:c r="C11" t="str"/>
      <x:c r="D11" t="str">
        <x:v>To confirm</x:v>
      </x:c>
      <x:c r="E11" t="str"/>
      <x:c r="F11" t="str"/>
      <x:c r="G11" t="str"/>
      <x:c r="H11" t="str">
        <x:v>Active</x:v>
      </x:c>
      <x:c r="I11" t="str">
        <x:v>No</x:v>
      </x:c>
      <x:c r="J11" t="str">
        <x:v>To confirm</x:v>
      </x:c>
      <x:c r="K11" t="str"/>
      <x:c r="L11" t="str"/>
      <x:c r="M11" t="str"/>
      <x:c r="N11" t="str"/>
    </x:row>
    <x:row r="12">
      <x:c r="A12" t="str">
        <x:v>Harare</x:v>
      </x:c>
      <x:c r="B12" t="str"/>
      <x:c r="C12" t="str"/>
      <x:c r="D12" t="str">
        <x:v>To confirm</x:v>
      </x:c>
      <x:c r="E12" t="str"/>
      <x:c r="F12" t="str"/>
      <x:c r="G12" t="str"/>
      <x:c r="H12" t="str">
        <x:v>Active</x:v>
      </x:c>
      <x:c r="I12" t="str">
        <x:v>No</x:v>
      </x:c>
      <x:c r="J12" t="str">
        <x:v>To confirm</x:v>
      </x:c>
      <x:c r="K12" t="str"/>
      <x:c r="L12" t="str"/>
      <x:c r="M12" t="str"/>
      <x:c r="N12" t="str"/>
    </x:row>
    <x:row r="13">
      <x:c r="A13" t="str">
        <x:v>Mutare</x:v>
      </x:c>
      <x:c r="B13" t="str"/>
      <x:c r="C13" t="str"/>
      <x:c r="D13" t="str">
        <x:v>To confirm</x:v>
      </x:c>
      <x:c r="E13" t="str"/>
      <x:c r="F13" t="str"/>
      <x:c r="G13" t="str"/>
      <x:c r="H13" t="str">
        <x:v>Active</x:v>
      </x:c>
      <x:c r="I13" t="str">
        <x:v>No</x:v>
      </x:c>
      <x:c r="J13" t="str">
        <x:v>To confirm</x:v>
      </x:c>
      <x:c r="K13" t="str"/>
      <x:c r="L13" t="str"/>
      <x:c r="M13" t="str"/>
      <x:c r="N13" t="str"/>
    </x:row>
    <x:row r="14">
      <x:c r="A14" t="str">
        <x:v>Masvingo</x:v>
      </x:c>
      <x:c r="B14" t="str"/>
      <x:c r="C14" t="str"/>
      <x:c r="D14" t="str">
        <x:v>To confirm</x:v>
      </x:c>
      <x:c r="E14" t="str"/>
      <x:c r="F14" t="str"/>
      <x:c r="G14" t="str"/>
      <x:c r="H14" t="str">
        <x:v>Active</x:v>
      </x:c>
      <x:c r="I14" t="str">
        <x:v>No</x:v>
      </x:c>
      <x:c r="J14" t="str">
        <x:v>To confirm</x:v>
      </x:c>
      <x:c r="K14" t="str"/>
      <x:c r="L14" t="str"/>
      <x:c r="M14" t="str"/>
      <x:c r="N14" t="str"/>
    </x:row>
    <x:row r="15">
      <x:c r="A15" t="str">
        <x:v>Bulawayo</x:v>
      </x:c>
      <x:c r="B15" t="str"/>
      <x:c r="C15" t="str"/>
      <x:c r="D15" t="str">
        <x:v>To confirm</x:v>
      </x:c>
      <x:c r="E15" t="str"/>
      <x:c r="F15" t="str"/>
      <x:c r="G15" t="str"/>
      <x:c r="H15" t="str">
        <x:v>Active</x:v>
      </x:c>
      <x:c r="I15" t="str">
        <x:v>No</x:v>
      </x:c>
      <x:c r="J15" t="str">
        <x:v>To confirm</x:v>
      </x:c>
      <x:c r="K15" t="str"/>
      <x:c r="L15" t="str"/>
      <x:c r="M15" t="str"/>
      <x:c r="N15" t="str"/>
    </x:row>
  </x:sheetData>
  <x:mergeCells>
    <x:mergeCell ref="A1:N1"/>
    <x:mergeCell ref="A2:N2"/>
  </x:mergeCells>
  <x:dataValidations count="4">
    <x:dataValidation type="list" sqref="D5:D15">
      <x:formula1>"Diesel,Petrol,Other,To confirm"</x:formula1>
    </x:dataValidation>
    <x:dataValidation type="list" sqref="H5:H15">
      <x:formula1>"Active,Maintenance,Out of Service,Quarantined,Archived"</x:formula1>
    </x:dataValidation>
    <x:dataValidation type="list" sqref="I5:I15">
      <x:formula1>"Yes,No"</x:formula1>
    </x:dataValidation>
    <x:dataValidation type="list" sqref="J5:J15">
      <x:formula1>"Discrete Table,Linear Interpolation,To confirm"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c566da2c7f4f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32" hidden="0" customWidth="1"/>
    <x:col min="8" max="8" width="36" hidden="0" customWidth="1"/>
  </x:cols>
  <x:sheetData>
    <x:row r="1" ht="28" customHeight="1">
      <x:c r="A1" s="4" t="str">
        <x:v>Tank Calibration Points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0" t="str">
        <x:v>Enter calibration points exactly from the approved tank chart. Historical dips reference the exact effective calibration version.</x:v>
      </x:c>
      <x:c r="B2" s="10"/>
      <x:c r="C2" s="10"/>
      <x:c r="D2" s="10"/>
      <x:c r="E2" s="10"/>
      <x:c r="F2" s="10"/>
      <x:c r="G2" s="10"/>
      <x:c r="H2" s="10"/>
    </x:row>
    <x:row r="4">
      <x:c r="A4" s="16" t="str">
        <x:v>Station</x:v>
      </x:c>
      <x:c r="B4" s="16" t="str">
        <x:v>Tank Code</x:v>
      </x:c>
      <x:c r="C4" s="16" t="str">
        <x:v>Calibration Version</x:v>
      </x:c>
      <x:c r="D4" s="16" t="str">
        <x:v>Dip Measurement</x:v>
      </x:c>
      <x:c r="E4" s="16" t="str">
        <x:v>Volume (L)</x:v>
      </x:c>
      <x:c r="F4" s="16" t="str">
        <x:v>Effective From</x:v>
      </x:c>
      <x:c r="G4" s="16" t="str">
        <x:v>Source / Document</x:v>
      </x:c>
      <x:c r="H4" s="16" t="str">
        <x:v>Notes</x:v>
      </x:c>
    </x:row>
    <x:row r="5">
      <x:c r="A5" t="str"/>
      <x:c r="B5" t="str"/>
      <x:c r="C5" t="str">
        <x:v>v1</x:v>
      </x:c>
      <x:c r="D5" t="str"/>
      <x:c r="E5" t="str"/>
      <x:c r="F5" t="str"/>
      <x:c r="G5" t="str"/>
      <x:c r="H5" t="str"/>
    </x:row>
    <x:row r="6">
      <x:c r="A6" t="str"/>
      <x:c r="B6" t="str"/>
      <x:c r="C6" t="str">
        <x:v>v1</x:v>
      </x:c>
      <x:c r="D6" t="str"/>
      <x:c r="E6" t="str"/>
      <x:c r="F6" t="str"/>
      <x:c r="G6" t="str"/>
      <x:c r="H6" t="str"/>
    </x:row>
    <x:row r="7">
      <x:c r="A7" t="str"/>
      <x:c r="B7" t="str"/>
      <x:c r="C7" t="str">
        <x:v>v1</x:v>
      </x:c>
      <x:c r="D7" t="str"/>
      <x:c r="E7" t="str"/>
      <x:c r="F7" t="str"/>
      <x:c r="G7" t="str"/>
      <x:c r="H7" t="str"/>
    </x:row>
    <x:row r="8">
      <x:c r="A8" t="str"/>
      <x:c r="B8" t="str"/>
      <x:c r="C8" t="str">
        <x:v>v1</x:v>
      </x:c>
      <x:c r="D8" t="str"/>
      <x:c r="E8" t="str"/>
      <x:c r="F8" t="str"/>
      <x:c r="G8" t="str"/>
      <x:c r="H8" t="str"/>
    </x:row>
    <x:row r="9">
      <x:c r="A9" t="str"/>
      <x:c r="B9" t="str"/>
      <x:c r="C9" t="str">
        <x:v>v1</x:v>
      </x:c>
      <x:c r="D9" t="str"/>
      <x:c r="E9" t="str"/>
      <x:c r="F9" t="str"/>
      <x:c r="G9" t="str"/>
      <x:c r="H9" t="str"/>
    </x:row>
    <x:row r="10">
      <x:c r="A10" t="str"/>
      <x:c r="B10" t="str"/>
      <x:c r="C10" t="str">
        <x:v>v1</x:v>
      </x:c>
      <x:c r="D10" t="str"/>
      <x:c r="E10" t="str"/>
      <x:c r="F10" t="str"/>
      <x:c r="G10" t="str"/>
      <x:c r="H10" t="str"/>
    </x:row>
    <x:row r="11">
      <x:c r="A11" t="str"/>
      <x:c r="B11" t="str"/>
      <x:c r="C11" t="str">
        <x:v>v1</x:v>
      </x:c>
      <x:c r="D11" t="str"/>
      <x:c r="E11" t="str"/>
      <x:c r="F11" t="str"/>
      <x:c r="G11" t="str"/>
      <x:c r="H11" t="str"/>
    </x:row>
    <x:row r="12">
      <x:c r="A12" t="str"/>
      <x:c r="B12" t="str"/>
      <x:c r="C12" t="str">
        <x:v>v1</x:v>
      </x:c>
      <x:c r="D12" t="str"/>
      <x:c r="E12" t="str"/>
      <x:c r="F12" t="str"/>
      <x:c r="G12" t="str"/>
      <x:c r="H12" t="str"/>
    </x:row>
    <x:row r="13">
      <x:c r="A13" t="str"/>
      <x:c r="B13" t="str"/>
      <x:c r="C13" t="str">
        <x:v>v1</x:v>
      </x:c>
      <x:c r="D13" t="str"/>
      <x:c r="E13" t="str"/>
      <x:c r="F13" t="str"/>
      <x:c r="G13" t="str"/>
      <x:c r="H13" t="str"/>
    </x:row>
    <x:row r="14">
      <x:c r="A14" t="str"/>
      <x:c r="B14" t="str"/>
      <x:c r="C14" t="str">
        <x:v>v1</x:v>
      </x:c>
      <x:c r="D14" t="str"/>
      <x:c r="E14" t="str"/>
      <x:c r="F14" t="str"/>
      <x:c r="G14" t="str"/>
      <x:c r="H14" t="str"/>
    </x:row>
    <x:row r="15">
      <x:c r="A15" t="str"/>
      <x:c r="B15" t="str"/>
      <x:c r="C15" t="str">
        <x:v>v1</x:v>
      </x:c>
      <x:c r="D15" t="str"/>
      <x:c r="E15" t="str"/>
      <x:c r="F15" t="str"/>
      <x:c r="G15" t="str"/>
      <x:c r="H15" t="str"/>
    </x:row>
    <x:row r="16">
      <x:c r="A16" t="str"/>
      <x:c r="B16" t="str"/>
      <x:c r="C16" t="str">
        <x:v>v1</x:v>
      </x:c>
      <x:c r="D16" t="str"/>
      <x:c r="E16" t="str"/>
      <x:c r="F16" t="str"/>
      <x:c r="G16" t="str"/>
      <x:c r="H16" t="str"/>
    </x:row>
    <x:row r="17">
      <x:c r="A17" t="str"/>
      <x:c r="B17" t="str"/>
      <x:c r="C17" t="str">
        <x:v>v1</x:v>
      </x:c>
      <x:c r="D17" t="str"/>
      <x:c r="E17" t="str"/>
      <x:c r="F17" t="str"/>
      <x:c r="G17" t="str"/>
      <x:c r="H17" t="str"/>
    </x:row>
    <x:row r="18">
      <x:c r="A18" t="str"/>
      <x:c r="B18" t="str"/>
      <x:c r="C18" t="str">
        <x:v>v1</x:v>
      </x:c>
      <x:c r="D18" t="str"/>
      <x:c r="E18" t="str"/>
      <x:c r="F18" t="str"/>
      <x:c r="G18" t="str"/>
      <x:c r="H18" t="str"/>
    </x:row>
    <x:row r="19">
      <x:c r="A19" t="str"/>
      <x:c r="B19" t="str"/>
      <x:c r="C19" t="str">
        <x:v>v1</x:v>
      </x:c>
      <x:c r="D19" t="str"/>
      <x:c r="E19" t="str"/>
      <x:c r="F19" t="str"/>
      <x:c r="G19" t="str"/>
      <x:c r="H19" t="str"/>
    </x:row>
    <x:row r="20">
      <x:c r="A20" t="str"/>
      <x:c r="B20" t="str"/>
      <x:c r="C20" t="str">
        <x:v>v1</x:v>
      </x:c>
      <x:c r="D20" t="str"/>
      <x:c r="E20" t="str"/>
      <x:c r="F20" t="str"/>
      <x:c r="G20" t="str"/>
      <x:c r="H20" t="str"/>
    </x:row>
    <x:row r="21">
      <x:c r="A21" t="str"/>
      <x:c r="B21" t="str"/>
      <x:c r="C21" t="str">
        <x:v>v1</x:v>
      </x:c>
      <x:c r="D21" t="str"/>
      <x:c r="E21" t="str"/>
      <x:c r="F21" t="str"/>
      <x:c r="G21" t="str"/>
      <x:c r="H21" t="str"/>
    </x:row>
    <x:row r="22">
      <x:c r="A22" t="str"/>
      <x:c r="B22" t="str"/>
      <x:c r="C22" t="str">
        <x:v>v1</x:v>
      </x:c>
      <x:c r="D22" t="str"/>
      <x:c r="E22" t="str"/>
      <x:c r="F22" t="str"/>
      <x:c r="G22" t="str"/>
      <x:c r="H22" t="str"/>
    </x:row>
    <x:row r="23">
      <x:c r="A23" t="str"/>
      <x:c r="B23" t="str"/>
      <x:c r="C23" t="str">
        <x:v>v1</x:v>
      </x:c>
      <x:c r="D23" t="str"/>
      <x:c r="E23" t="str"/>
      <x:c r="F23" t="str"/>
      <x:c r="G23" t="str"/>
      <x:c r="H23" t="str"/>
    </x:row>
    <x:row r="24">
      <x:c r="A24" t="str"/>
      <x:c r="B24" t="str"/>
      <x:c r="C24" t="str">
        <x:v>v1</x:v>
      </x:c>
      <x:c r="D24" t="str"/>
      <x:c r="E24" t="str"/>
      <x:c r="F24" t="str"/>
      <x:c r="G24" t="str"/>
      <x:c r="H24" t="str"/>
    </x:row>
    <x:row r="25">
      <x:c r="A25" t="str"/>
      <x:c r="B25" t="str"/>
      <x:c r="C25" t="str">
        <x:v>v1</x:v>
      </x:c>
      <x:c r="D25" t="str"/>
      <x:c r="E25" t="str"/>
      <x:c r="F25" t="str"/>
      <x:c r="G25" t="str"/>
      <x:c r="H25" t="str"/>
    </x:row>
    <x:row r="26">
      <x:c r="A26" t="str"/>
      <x:c r="B26" t="str"/>
      <x:c r="C26" t="str">
        <x:v>v1</x:v>
      </x:c>
      <x:c r="D26" t="str"/>
      <x:c r="E26" t="str"/>
      <x:c r="F26" t="str"/>
      <x:c r="G26" t="str"/>
      <x:c r="H26" t="str"/>
    </x:row>
    <x:row r="27">
      <x:c r="A27" t="str"/>
      <x:c r="B27" t="str"/>
      <x:c r="C27" t="str">
        <x:v>v1</x:v>
      </x:c>
      <x:c r="D27" t="str"/>
      <x:c r="E27" t="str"/>
      <x:c r="F27" t="str"/>
      <x:c r="G27" t="str"/>
      <x:c r="H27" t="str"/>
    </x:row>
    <x:row r="28">
      <x:c r="A28" t="str"/>
      <x:c r="B28" t="str"/>
      <x:c r="C28" t="str">
        <x:v>v1</x:v>
      </x:c>
      <x:c r="D28" t="str"/>
      <x:c r="E28" t="str"/>
      <x:c r="F28" t="str"/>
      <x:c r="G28" t="str"/>
      <x:c r="H28" t="str"/>
    </x:row>
    <x:row r="29">
      <x:c r="A29" t="str"/>
      <x:c r="B29" t="str"/>
      <x:c r="C29" t="str">
        <x:v>v1</x:v>
      </x:c>
      <x:c r="D29" t="str"/>
      <x:c r="E29" t="str"/>
      <x:c r="F29" t="str"/>
      <x:c r="G29" t="str"/>
      <x:c r="H29" t="str"/>
    </x:row>
    <x:row r="30">
      <x:c r="A30" t="str"/>
      <x:c r="B30" t="str"/>
      <x:c r="C30" t="str">
        <x:v>v1</x:v>
      </x:c>
      <x:c r="D30" t="str"/>
      <x:c r="E30" t="str"/>
      <x:c r="F30" t="str"/>
      <x:c r="G30" t="str"/>
      <x:c r="H30" t="str"/>
    </x:row>
    <x:row r="31">
      <x:c r="A31" t="str"/>
      <x:c r="B31" t="str"/>
      <x:c r="C31" t="str">
        <x:v>v1</x:v>
      </x:c>
      <x:c r="D31" t="str"/>
      <x:c r="E31" t="str"/>
      <x:c r="F31" t="str"/>
      <x:c r="G31" t="str"/>
      <x:c r="H31" t="str"/>
    </x:row>
    <x:row r="32">
      <x:c r="A32" t="str"/>
      <x:c r="B32" t="str"/>
      <x:c r="C32" t="str">
        <x:v>v1</x:v>
      </x:c>
      <x:c r="D32" t="str"/>
      <x:c r="E32" t="str"/>
      <x:c r="F32" t="str"/>
      <x:c r="G32" t="str"/>
      <x:c r="H32" t="str"/>
    </x:row>
    <x:row r="33">
      <x:c r="A33" t="str"/>
      <x:c r="B33" t="str"/>
      <x:c r="C33" t="str">
        <x:v>v1</x:v>
      </x:c>
      <x:c r="D33" t="str"/>
      <x:c r="E33" t="str"/>
      <x:c r="F33" t="str"/>
      <x:c r="G33" t="str"/>
      <x:c r="H33" t="str"/>
    </x:row>
    <x:row r="34">
      <x:c r="A34" t="str"/>
      <x:c r="B34" t="str"/>
      <x:c r="C34" t="str">
        <x:v>v1</x:v>
      </x:c>
      <x:c r="D34" t="str"/>
      <x:c r="E34" t="str"/>
      <x:c r="F34" t="str"/>
      <x:c r="G34" t="str"/>
      <x:c r="H34" t="str"/>
    </x:row>
    <x:row r="35">
      <x:c r="A35" t="str"/>
      <x:c r="B35" t="str"/>
      <x:c r="C35" t="str">
        <x:v>v1</x:v>
      </x:c>
      <x:c r="D35" t="str"/>
      <x:c r="E35" t="str"/>
      <x:c r="F35" t="str"/>
      <x:c r="G35" t="str"/>
      <x:c r="H35" t="str"/>
    </x:row>
    <x:row r="36">
      <x:c r="A36" t="str"/>
      <x:c r="B36" t="str"/>
      <x:c r="C36" t="str">
        <x:v>v1</x:v>
      </x:c>
      <x:c r="D36" t="str"/>
      <x:c r="E36" t="str"/>
      <x:c r="F36" t="str"/>
      <x:c r="G36" t="str"/>
      <x:c r="H36" t="str"/>
    </x:row>
    <x:row r="37">
      <x:c r="A37" t="str"/>
      <x:c r="B37" t="str"/>
      <x:c r="C37" t="str">
        <x:v>v1</x:v>
      </x:c>
      <x:c r="D37" t="str"/>
      <x:c r="E37" t="str"/>
      <x:c r="F37" t="str"/>
      <x:c r="G37" t="str"/>
      <x:c r="H37" t="str"/>
    </x:row>
    <x:row r="38">
      <x:c r="A38" t="str"/>
      <x:c r="B38" t="str"/>
      <x:c r="C38" t="str">
        <x:v>v1</x:v>
      </x:c>
      <x:c r="D38" t="str"/>
      <x:c r="E38" t="str"/>
      <x:c r="F38" t="str"/>
      <x:c r="G38" t="str"/>
      <x:c r="H38" t="str"/>
    </x:row>
    <x:row r="39">
      <x:c r="A39" t="str"/>
      <x:c r="B39" t="str"/>
      <x:c r="C39" t="str">
        <x:v>v1</x:v>
      </x:c>
      <x:c r="D39" t="str"/>
      <x:c r="E39" t="str"/>
      <x:c r="F39" t="str"/>
      <x:c r="G39" t="str"/>
      <x:c r="H39" t="str"/>
    </x:row>
    <x:row r="40">
      <x:c r="A40" t="str"/>
      <x:c r="B40" t="str"/>
      <x:c r="C40" t="str">
        <x:v>v1</x:v>
      </x:c>
      <x:c r="D40" t="str"/>
      <x:c r="E40" t="str"/>
      <x:c r="F40" t="str"/>
      <x:c r="G40" t="str"/>
      <x:c r="H40" t="str"/>
    </x:row>
    <x:row r="41">
      <x:c r="A41" t="str"/>
      <x:c r="B41" t="str"/>
      <x:c r="C41" t="str">
        <x:v>v1</x:v>
      </x:c>
      <x:c r="D41" t="str"/>
      <x:c r="E41" t="str"/>
      <x:c r="F41" t="str"/>
      <x:c r="G41" t="str"/>
      <x:c r="H41" t="str"/>
    </x:row>
    <x:row r="42">
      <x:c r="A42" t="str"/>
      <x:c r="B42" t="str"/>
      <x:c r="C42" t="str">
        <x:v>v1</x:v>
      </x:c>
      <x:c r="D42" t="str"/>
      <x:c r="E42" t="str"/>
      <x:c r="F42" t="str"/>
      <x:c r="G42" t="str"/>
      <x:c r="H42" t="str"/>
    </x:row>
    <x:row r="43">
      <x:c r="A43" t="str"/>
      <x:c r="B43" t="str"/>
      <x:c r="C43" t="str">
        <x:v>v1</x:v>
      </x:c>
      <x:c r="D43" t="str"/>
      <x:c r="E43" t="str"/>
      <x:c r="F43" t="str"/>
      <x:c r="G43" t="str"/>
      <x:c r="H43" t="str"/>
    </x:row>
    <x:row r="44">
      <x:c r="A44" t="str"/>
      <x:c r="B44" t="str"/>
      <x:c r="C44" t="str">
        <x:v>v1</x:v>
      </x:c>
      <x:c r="D44" t="str"/>
      <x:c r="E44" t="str"/>
      <x:c r="F44" t="str"/>
      <x:c r="G44" t="str"/>
      <x:c r="H44" t="str"/>
    </x:row>
    <x:row r="45">
      <x:c r="A45" t="str"/>
      <x:c r="B45" t="str"/>
      <x:c r="C45" t="str">
        <x:v>v1</x:v>
      </x:c>
      <x:c r="D45" t="str"/>
      <x:c r="E45" t="str"/>
      <x:c r="F45" t="str"/>
      <x:c r="G45" t="str"/>
      <x:c r="H45" t="str"/>
    </x:row>
    <x:row r="46">
      <x:c r="A46" t="str"/>
      <x:c r="B46" t="str"/>
      <x:c r="C46" t="str">
        <x:v>v1</x:v>
      </x:c>
      <x:c r="D46" t="str"/>
      <x:c r="E46" t="str"/>
      <x:c r="F46" t="str"/>
      <x:c r="G46" t="str"/>
      <x:c r="H46" t="str"/>
    </x:row>
    <x:row r="47">
      <x:c r="A47" t="str"/>
      <x:c r="B47" t="str"/>
      <x:c r="C47" t="str">
        <x:v>v1</x:v>
      </x:c>
      <x:c r="D47" t="str"/>
      <x:c r="E47" t="str"/>
      <x:c r="F47" t="str"/>
      <x:c r="G47" t="str"/>
      <x:c r="H47" t="str"/>
    </x:row>
    <x:row r="48">
      <x:c r="A48" t="str"/>
      <x:c r="B48" t="str"/>
      <x:c r="C48" t="str">
        <x:v>v1</x:v>
      </x:c>
      <x:c r="D48" t="str"/>
      <x:c r="E48" t="str"/>
      <x:c r="F48" t="str"/>
      <x:c r="G48" t="str"/>
      <x:c r="H48" t="str"/>
    </x:row>
    <x:row r="49">
      <x:c r="A49" t="str"/>
      <x:c r="B49" t="str"/>
      <x:c r="C49" t="str">
        <x:v>v1</x:v>
      </x:c>
      <x:c r="D49" t="str"/>
      <x:c r="E49" t="str"/>
      <x:c r="F49" t="str"/>
      <x:c r="G49" t="str"/>
      <x:c r="H49" t="str"/>
    </x:row>
    <x:row r="50">
      <x:c r="A50" t="str"/>
      <x:c r="B50" t="str"/>
      <x:c r="C50" t="str">
        <x:v>v1</x:v>
      </x:c>
      <x:c r="D50" t="str"/>
      <x:c r="E50" t="str"/>
      <x:c r="F50" t="str"/>
      <x:c r="G50" t="str"/>
      <x:c r="H50" t="str"/>
    </x:row>
    <x:row r="51">
      <x:c r="A51" t="str"/>
      <x:c r="B51" t="str"/>
      <x:c r="C51" t="str">
        <x:v>v1</x:v>
      </x:c>
      <x:c r="D51" t="str"/>
      <x:c r="E51" t="str"/>
      <x:c r="F51" t="str"/>
      <x:c r="G51" t="str"/>
      <x:c r="H51" t="str"/>
    </x:row>
    <x:row r="52">
      <x:c r="A52" t="str"/>
      <x:c r="B52" t="str"/>
      <x:c r="C52" t="str">
        <x:v>v1</x:v>
      </x:c>
      <x:c r="D52" t="str"/>
      <x:c r="E52" t="str"/>
      <x:c r="F52" t="str"/>
      <x:c r="G52" t="str"/>
      <x:c r="H52" t="str"/>
    </x:row>
    <x:row r="53">
      <x:c r="A53" t="str"/>
      <x:c r="B53" t="str"/>
      <x:c r="C53" t="str">
        <x:v>v1</x:v>
      </x:c>
      <x:c r="D53" t="str"/>
      <x:c r="E53" t="str"/>
      <x:c r="F53" t="str"/>
      <x:c r="G53" t="str"/>
      <x:c r="H53" t="str"/>
    </x:row>
    <x:row r="54">
      <x:c r="A54" t="str"/>
      <x:c r="B54" t="str"/>
      <x:c r="C54" t="str">
        <x:v>v1</x:v>
      </x:c>
      <x:c r="D54" t="str"/>
      <x:c r="E54" t="str"/>
      <x:c r="F54" t="str"/>
      <x:c r="G54" t="str"/>
      <x:c r="H54" t="str"/>
    </x:row>
    <x:row r="55">
      <x:c r="A55" t="str"/>
      <x:c r="B55" t="str"/>
      <x:c r="C55" t="str">
        <x:v>v1</x:v>
      </x:c>
      <x:c r="D55" t="str"/>
      <x:c r="E55" t="str"/>
      <x:c r="F55" t="str"/>
      <x:c r="G55" t="str"/>
      <x:c r="H55" t="str"/>
    </x:row>
    <x:row r="56">
      <x:c r="A56" t="str"/>
      <x:c r="B56" t="str"/>
      <x:c r="C56" t="str">
        <x:v>v1</x:v>
      </x:c>
      <x:c r="D56" t="str"/>
      <x:c r="E56" t="str"/>
      <x:c r="F56" t="str"/>
      <x:c r="G56" t="str"/>
      <x:c r="H56" t="str"/>
    </x:row>
    <x:row r="57">
      <x:c r="A57" t="str"/>
      <x:c r="B57" t="str"/>
      <x:c r="C57" t="str">
        <x:v>v1</x:v>
      </x:c>
      <x:c r="D57" t="str"/>
      <x:c r="E57" t="str"/>
      <x:c r="F57" t="str"/>
      <x:c r="G57" t="str"/>
      <x:c r="H57" t="str"/>
    </x:row>
    <x:row r="58">
      <x:c r="A58" t="str"/>
      <x:c r="B58" t="str"/>
      <x:c r="C58" t="str">
        <x:v>v1</x:v>
      </x:c>
      <x:c r="D58" t="str"/>
      <x:c r="E58" t="str"/>
      <x:c r="F58" t="str"/>
      <x:c r="G58" t="str"/>
      <x:c r="H58" t="str"/>
    </x:row>
    <x:row r="59">
      <x:c r="A59" t="str"/>
      <x:c r="B59" t="str"/>
      <x:c r="C59" t="str">
        <x:v>v1</x:v>
      </x:c>
      <x:c r="D59" t="str"/>
      <x:c r="E59" t="str"/>
      <x:c r="F59" t="str"/>
      <x:c r="G59" t="str"/>
      <x:c r="H59" t="str"/>
    </x:row>
    <x:row r="60">
      <x:c r="A60" t="str"/>
      <x:c r="B60" t="str"/>
      <x:c r="C60" t="str">
        <x:v>v1</x:v>
      </x:c>
      <x:c r="D60" t="str"/>
      <x:c r="E60" t="str"/>
      <x:c r="F60" t="str"/>
      <x:c r="G60" t="str"/>
      <x:c r="H60" t="str"/>
    </x:row>
    <x:row r="63">
      <x:c r="A63" s="24" t="str">
        <x:v>Rules</x:v>
      </x:c>
      <x:c r="B63" s="24" t="str"/>
      <x:c r="C63" s="24" t="str"/>
      <x:c r="D63" s="24" t="str"/>
      <x:c r="E63" s="24" t="str"/>
      <x:c r="F63" s="24" t="str"/>
      <x:c r="G63" s="24" t="str"/>
      <x:c r="H63" s="24" t="str"/>
    </x:row>
    <x:row r="64">
      <x:c r="A64" s="20" t="str">
        <x:v>1</x:v>
      </x:c>
      <x:c r="B64" s="20" t="str">
        <x:v>Do not interpolate from memory; use the approved chart/source.</x:v>
      </x:c>
      <x:c r="C64" s="20" t="str"/>
      <x:c r="D64" s="20" t="str"/>
      <x:c r="E64" s="20" t="str"/>
      <x:c r="F64" s="20" t="str"/>
      <x:c r="G64" s="20" t="str"/>
      <x:c r="H64" s="20" t="str"/>
    </x:row>
    <x:row r="65">
      <x:c r="A65" s="20" t="str">
        <x:v>2</x:v>
      </x:c>
      <x:c r="B65" s="20" t="str">
        <x:v>Do not recalculate old dips when a new calibration chart is introduced.</x:v>
      </x:c>
      <x:c r="C65" s="20" t="str"/>
      <x:c r="D65" s="20" t="str"/>
      <x:c r="E65" s="20" t="str"/>
      <x:c r="F65" s="20" t="str"/>
      <x:c r="G65" s="20" t="str"/>
      <x:c r="H65" s="20" t="str"/>
    </x:row>
    <x:row r="66">
      <x:c r="A66" s="20" t="str">
        <x:v>3</x:v>
      </x:c>
      <x:c r="B66" s="20" t="str">
        <x:v>Raw dip and converted litres are both retained.</x:v>
      </x:c>
      <x:c r="C66" s="20" t="str"/>
      <x:c r="D66" s="20" t="str"/>
      <x:c r="E66" s="20" t="str"/>
      <x:c r="F66" s="20" t="str"/>
      <x:c r="G66" s="20" t="str"/>
      <x:c r="H66" s="20" t="str"/>
    </x:row>
    <x:row r="67">
      <x:c r="A67" s="20" t="str">
        <x:v>4</x:v>
      </x:c>
      <x:c r="B67" s="20" t="str">
        <x:v>Calibration changes are effective-dated.</x:v>
      </x:c>
      <x:c r="C67" s="20" t="str"/>
      <x:c r="D67" s="20" t="str"/>
      <x:c r="E67" s="20" t="str"/>
      <x:c r="F67" s="20" t="str"/>
      <x:c r="G67" s="20" t="str"/>
      <x:c r="H67" s="2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9d4075c78a4428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4" hidden="0" customWidth="1"/>
    <x:col min="5" max="5" width="16" hidden="0" customWidth="1"/>
    <x:col min="6" max="6" width="12" hidden="0" customWidth="1"/>
    <x:col min="7" max="7" width="20" hidden="0" customWidth="1"/>
    <x:col min="8" max="8" width="18" hidden="0" customWidth="1"/>
    <x:col min="9" max="9" width="22" hidden="0" customWidth="1"/>
    <x:col min="10" max="10" width="16" hidden="0" customWidth="1"/>
    <x:col min="11" max="11" width="18" hidden="0" customWidth="1"/>
    <x:col min="12" max="12" width="16" hidden="0" customWidth="1"/>
    <x:col min="13" max="13" width="12" hidden="0" customWidth="1"/>
    <x:col min="14" max="14" width="34" hidden="0" customWidth="1"/>
  </x:cols>
  <x:sheetData>
    <x:row r="1" ht="28" customHeight="1">
      <x:c r="A1" s="4" t="str">
        <x:v>Pumps, Nozzles &amp; Physical Meters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0" t="str">
        <x:v>Product/pool assignments are effective-dated. Physical Meter and Meter Installation are separate so replacements do not destroy history.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6" t="str">
        <x:v>Station</x:v>
      </x:c>
      <x:c r="B4" s="16" t="str">
        <x:v>Pump Code</x:v>
      </x:c>
      <x:c r="C4" s="16" t="str">
        <x:v>Pump Name</x:v>
      </x:c>
      <x:c r="D4" s="16" t="str">
        <x:v>Nozzle Code</x:v>
      </x:c>
      <x:c r="E4" s="16" t="str">
        <x:v>Nozzle Status</x:v>
      </x:c>
      <x:c r="F4" s="16" t="str">
        <x:v>Product</x:v>
      </x:c>
      <x:c r="G4" s="16" t="str">
        <x:v>Inventory Pool</x:v>
      </x:c>
      <x:c r="H4" s="16" t="str">
        <x:v>Meter Serial</x:v>
      </x:c>
      <x:c r="I4" s="16" t="str">
        <x:v>Meter Make/Model</x:v>
      </x:c>
      <x:c r="J4" s="16" t="str">
        <x:v>Initial Reading</x:v>
      </x:c>
      <x:c r="K4" s="16" t="str">
        <x:v>Installed At</x:v>
      </x:c>
      <x:c r="L4" s="16" t="str">
        <x:v>Photo/Evidence?</x:v>
      </x:c>
      <x:c r="M4" s="16" t="str">
        <x:v>Verified?</x:v>
      </x:c>
      <x:c r="N4" s="16" t="str">
        <x:v>Notes</x:v>
      </x:c>
    </x:row>
    <x:row r="5">
      <x:c r="A5" t="str">
        <x:v>Sandawana</x:v>
      </x:c>
      <x:c r="B5" t="str"/>
      <x:c r="C5" t="str"/>
      <x:c r="D5" t="str"/>
      <x:c r="E5" t="str">
        <x:v>Active</x:v>
      </x:c>
      <x:c r="F5" t="str">
        <x:v>Diesel</x:v>
      </x:c>
      <x:c r="G5" t="str"/>
      <x:c r="H5" t="str"/>
      <x:c r="I5" t="str"/>
      <x:c r="J5" t="str"/>
      <x:c r="K5" t="str"/>
      <x:c r="L5" t="str">
        <x:v>No</x:v>
      </x:c>
      <x:c r="M5" t="str">
        <x:v>No</x:v>
      </x:c>
      <x:c r="N5" t="str"/>
    </x:row>
    <x:row r="6">
      <x:c r="A6" t="str">
        <x:v>Sandawana</x:v>
      </x:c>
      <x:c r="B6" t="str"/>
      <x:c r="C6" t="str"/>
      <x:c r="D6" t="str"/>
      <x:c r="E6" t="str">
        <x:v>Active</x:v>
      </x:c>
      <x:c r="F6" t="str">
        <x:v>Petrol</x:v>
      </x:c>
      <x:c r="G6" t="str"/>
      <x:c r="H6" t="str"/>
      <x:c r="I6" t="str"/>
      <x:c r="J6" t="str"/>
      <x:c r="K6" t="str"/>
      <x:c r="L6" t="str">
        <x:v>No</x:v>
      </x:c>
      <x:c r="M6" t="str">
        <x:v>No</x:v>
      </x:c>
      <x:c r="N6" t="str"/>
    </x:row>
    <x:row r="7">
      <x:c r="A7" t="str">
        <x:v>Hwange</x:v>
      </x:c>
      <x:c r="B7" t="str"/>
      <x:c r="C7" t="str"/>
      <x:c r="D7" t="str"/>
      <x:c r="E7" t="str">
        <x:v>Active</x:v>
      </x:c>
      <x:c r="F7" t="str">
        <x:v>Diesel</x:v>
      </x:c>
      <x:c r="G7" t="str"/>
      <x:c r="H7" t="str"/>
      <x:c r="I7" t="str"/>
      <x:c r="J7" t="str"/>
      <x:c r="K7" t="str"/>
      <x:c r="L7" t="str">
        <x:v>No</x:v>
      </x:c>
      <x:c r="M7" t="str">
        <x:v>No</x:v>
      </x:c>
      <x:c r="N7" t="str"/>
    </x:row>
    <x:row r="8">
      <x:c r="A8" t="str">
        <x:v>Hwange</x:v>
      </x:c>
      <x:c r="B8" t="str"/>
      <x:c r="C8" t="str"/>
      <x:c r="D8" t="str"/>
      <x:c r="E8" t="str">
        <x:v>Active</x:v>
      </x:c>
      <x:c r="F8" t="str">
        <x:v>Petrol</x:v>
      </x:c>
      <x:c r="G8" t="str"/>
      <x:c r="H8" t="str"/>
      <x:c r="I8" t="str"/>
      <x:c r="J8" t="str"/>
      <x:c r="K8" t="str"/>
      <x:c r="L8" t="str">
        <x:v>No</x:v>
      </x:c>
      <x:c r="M8" t="str">
        <x:v>No</x:v>
      </x:c>
      <x:c r="N8" t="str"/>
    </x:row>
    <x:row r="9">
      <x:c r="A9" t="str">
        <x:v>Bindura</x:v>
      </x:c>
      <x:c r="B9" t="str"/>
      <x:c r="C9" t="str"/>
      <x:c r="D9" t="str"/>
      <x:c r="E9" t="str">
        <x:v>Active</x:v>
      </x:c>
      <x:c r="F9" t="str">
        <x:v>Diesel</x:v>
      </x:c>
      <x:c r="G9" t="str"/>
      <x:c r="H9" t="str"/>
      <x:c r="I9" t="str"/>
      <x:c r="J9" t="str"/>
      <x:c r="K9" t="str"/>
      <x:c r="L9" t="str">
        <x:v>No</x:v>
      </x:c>
      <x:c r="M9" t="str">
        <x:v>No</x:v>
      </x:c>
      <x:c r="N9" t="str"/>
    </x:row>
    <x:row r="10">
      <x:c r="A10" t="str">
        <x:v>Bindura</x:v>
      </x:c>
      <x:c r="B10" t="str"/>
      <x:c r="C10" t="str"/>
      <x:c r="D10" t="str"/>
      <x:c r="E10" t="str">
        <x:v>Active</x:v>
      </x:c>
      <x:c r="F10" t="str">
        <x:v>Petrol</x:v>
      </x:c>
      <x:c r="G10" t="str"/>
      <x:c r="H10" t="str"/>
      <x:c r="I10" t="str"/>
      <x:c r="J10" t="str"/>
      <x:c r="K10" t="str"/>
      <x:c r="L10" t="str">
        <x:v>No</x:v>
      </x:c>
      <x:c r="M10" t="str">
        <x:v>No</x:v>
      </x:c>
      <x:c r="N10" t="str"/>
    </x:row>
    <x:row r="11">
      <x:c r="A11" t="str">
        <x:v>Makaha</x:v>
      </x:c>
      <x:c r="B11" t="str"/>
      <x:c r="C11" t="str"/>
      <x:c r="D11" t="str"/>
      <x:c r="E11" t="str">
        <x:v>Active</x:v>
      </x:c>
      <x:c r="F11" t="str">
        <x:v>Diesel</x:v>
      </x:c>
      <x:c r="G11" t="str"/>
      <x:c r="H11" t="str"/>
      <x:c r="I11" t="str"/>
      <x:c r="J11" t="str"/>
      <x:c r="K11" t="str"/>
      <x:c r="L11" t="str">
        <x:v>No</x:v>
      </x:c>
      <x:c r="M11" t="str">
        <x:v>No</x:v>
      </x:c>
      <x:c r="N11" t="str"/>
    </x:row>
    <x:row r="12">
      <x:c r="A12" t="str">
        <x:v>Makaha</x:v>
      </x:c>
      <x:c r="B12" t="str"/>
      <x:c r="C12" t="str"/>
      <x:c r="D12" t="str"/>
      <x:c r="E12" t="str">
        <x:v>Active</x:v>
      </x:c>
      <x:c r="F12" t="str">
        <x:v>Petrol</x:v>
      </x:c>
      <x:c r="G12" t="str"/>
      <x:c r="H12" t="str"/>
      <x:c r="I12" t="str"/>
      <x:c r="J12" t="str"/>
      <x:c r="K12" t="str"/>
      <x:c r="L12" t="str">
        <x:v>No</x:v>
      </x:c>
      <x:c r="M12" t="str">
        <x:v>No</x:v>
      </x:c>
      <x:c r="N12" t="str"/>
    </x:row>
    <x:row r="13">
      <x:c r="A13" t="str">
        <x:v>Kwekwe</x:v>
      </x:c>
      <x:c r="B13" t="str"/>
      <x:c r="C13" t="str"/>
      <x:c r="D13" t="str"/>
      <x:c r="E13" t="str">
        <x:v>Active</x:v>
      </x:c>
      <x:c r="F13" t="str">
        <x:v>Diesel</x:v>
      </x:c>
      <x:c r="G13" t="str"/>
      <x:c r="H13" t="str"/>
      <x:c r="I13" t="str"/>
      <x:c r="J13" t="str"/>
      <x:c r="K13" t="str"/>
      <x:c r="L13" t="str">
        <x:v>No</x:v>
      </x:c>
      <x:c r="M13" t="str">
        <x:v>No</x:v>
      </x:c>
      <x:c r="N13" t="str"/>
    </x:row>
    <x:row r="14">
      <x:c r="A14" t="str">
        <x:v>Kwekwe</x:v>
      </x:c>
      <x:c r="B14" t="str"/>
      <x:c r="C14" t="str"/>
      <x:c r="D14" t="str"/>
      <x:c r="E14" t="str">
        <x:v>Active</x:v>
      </x:c>
      <x:c r="F14" t="str">
        <x:v>Petrol</x:v>
      </x:c>
      <x:c r="G14" t="str"/>
      <x:c r="H14" t="str"/>
      <x:c r="I14" t="str"/>
      <x:c r="J14" t="str"/>
      <x:c r="K14" t="str"/>
      <x:c r="L14" t="str">
        <x:v>No</x:v>
      </x:c>
      <x:c r="M14" t="str">
        <x:v>No</x:v>
      </x:c>
      <x:c r="N14" t="str"/>
    </x:row>
    <x:row r="15">
      <x:c r="A15" t="str">
        <x:v>Kadoma</x:v>
      </x:c>
      <x:c r="B15" t="str"/>
      <x:c r="C15" t="str"/>
      <x:c r="D15" t="str"/>
      <x:c r="E15" t="str">
        <x:v>Active</x:v>
      </x:c>
      <x:c r="F15" t="str">
        <x:v>Diesel</x:v>
      </x:c>
      <x:c r="G15" t="str"/>
      <x:c r="H15" t="str"/>
      <x:c r="I15" t="str"/>
      <x:c r="J15" t="str"/>
      <x:c r="K15" t="str"/>
      <x:c r="L15" t="str">
        <x:v>No</x:v>
      </x:c>
      <x:c r="M15" t="str">
        <x:v>No</x:v>
      </x:c>
      <x:c r="N15" t="str"/>
    </x:row>
    <x:row r="16">
      <x:c r="A16" t="str">
        <x:v>Kadoma</x:v>
      </x:c>
      <x:c r="B16" t="str"/>
      <x:c r="C16" t="str"/>
      <x:c r="D16" t="str"/>
      <x:c r="E16" t="str">
        <x:v>Active</x:v>
      </x:c>
      <x:c r="F16" t="str">
        <x:v>Petrol</x:v>
      </x:c>
      <x:c r="G16" t="str"/>
      <x:c r="H16" t="str"/>
      <x:c r="I16" t="str"/>
      <x:c r="J16" t="str"/>
      <x:c r="K16" t="str"/>
      <x:c r="L16" t="str">
        <x:v>No</x:v>
      </x:c>
      <x:c r="M16" t="str">
        <x:v>No</x:v>
      </x:c>
      <x:c r="N16" t="str"/>
    </x:row>
    <x:row r="17">
      <x:c r="A17" t="str">
        <x:v>Gweru</x:v>
      </x:c>
      <x:c r="B17" t="str"/>
      <x:c r="C17" t="str"/>
      <x:c r="D17" t="str"/>
      <x:c r="E17" t="str">
        <x:v>Active</x:v>
      </x:c>
      <x:c r="F17" t="str">
        <x:v>Diesel</x:v>
      </x:c>
      <x:c r="G17" t="str"/>
      <x:c r="H17" t="str"/>
      <x:c r="I17" t="str"/>
      <x:c r="J17" t="str"/>
      <x:c r="K17" t="str"/>
      <x:c r="L17" t="str">
        <x:v>No</x:v>
      </x:c>
      <x:c r="M17" t="str">
        <x:v>No</x:v>
      </x:c>
      <x:c r="N17" t="str"/>
    </x:row>
    <x:row r="18">
      <x:c r="A18" t="str">
        <x:v>Gweru</x:v>
      </x:c>
      <x:c r="B18" t="str"/>
      <x:c r="C18" t="str"/>
      <x:c r="D18" t="str"/>
      <x:c r="E18" t="str">
        <x:v>Active</x:v>
      </x:c>
      <x:c r="F18" t="str">
        <x:v>Petrol</x:v>
      </x:c>
      <x:c r="G18" t="str"/>
      <x:c r="H18" t="str"/>
      <x:c r="I18" t="str"/>
      <x:c r="J18" t="str"/>
      <x:c r="K18" t="str"/>
      <x:c r="L18" t="str">
        <x:v>No</x:v>
      </x:c>
      <x:c r="M18" t="str">
        <x:v>No</x:v>
      </x:c>
      <x:c r="N18" t="str"/>
    </x:row>
    <x:row r="19">
      <x:c r="A19" t="str">
        <x:v>Harare</x:v>
      </x:c>
      <x:c r="B19" t="str"/>
      <x:c r="C19" t="str"/>
      <x:c r="D19" t="str"/>
      <x:c r="E19" t="str">
        <x:v>Active</x:v>
      </x:c>
      <x:c r="F19" t="str">
        <x:v>Diesel</x:v>
      </x:c>
      <x:c r="G19" t="str"/>
      <x:c r="H19" t="str"/>
      <x:c r="I19" t="str"/>
      <x:c r="J19" t="str"/>
      <x:c r="K19" t="str"/>
      <x:c r="L19" t="str">
        <x:v>No</x:v>
      </x:c>
      <x:c r="M19" t="str">
        <x:v>No</x:v>
      </x:c>
      <x:c r="N19" t="str"/>
    </x:row>
    <x:row r="20">
      <x:c r="A20" t="str">
        <x:v>Harare</x:v>
      </x:c>
      <x:c r="B20" t="str"/>
      <x:c r="C20" t="str"/>
      <x:c r="D20" t="str"/>
      <x:c r="E20" t="str">
        <x:v>Active</x:v>
      </x:c>
      <x:c r="F20" t="str">
        <x:v>Petrol</x:v>
      </x:c>
      <x:c r="G20" t="str"/>
      <x:c r="H20" t="str"/>
      <x:c r="I20" t="str"/>
      <x:c r="J20" t="str"/>
      <x:c r="K20" t="str"/>
      <x:c r="L20" t="str">
        <x:v>No</x:v>
      </x:c>
      <x:c r="M20" t="str">
        <x:v>No</x:v>
      </x:c>
      <x:c r="N20" t="str"/>
    </x:row>
    <x:row r="21">
      <x:c r="A21" t="str">
        <x:v>Mutare</x:v>
      </x:c>
      <x:c r="B21" t="str"/>
      <x:c r="C21" t="str"/>
      <x:c r="D21" t="str"/>
      <x:c r="E21" t="str">
        <x:v>Active</x:v>
      </x:c>
      <x:c r="F21" t="str">
        <x:v>Diesel</x:v>
      </x:c>
      <x:c r="G21" t="str"/>
      <x:c r="H21" t="str"/>
      <x:c r="I21" t="str"/>
      <x:c r="J21" t="str"/>
      <x:c r="K21" t="str"/>
      <x:c r="L21" t="str">
        <x:v>No</x:v>
      </x:c>
      <x:c r="M21" t="str">
        <x:v>No</x:v>
      </x:c>
      <x:c r="N21" t="str"/>
    </x:row>
    <x:row r="22">
      <x:c r="A22" t="str">
        <x:v>Mutare</x:v>
      </x:c>
      <x:c r="B22" t="str"/>
      <x:c r="C22" t="str"/>
      <x:c r="D22" t="str"/>
      <x:c r="E22" t="str">
        <x:v>Active</x:v>
      </x:c>
      <x:c r="F22" t="str">
        <x:v>Petrol</x:v>
      </x:c>
      <x:c r="G22" t="str"/>
      <x:c r="H22" t="str"/>
      <x:c r="I22" t="str"/>
      <x:c r="J22" t="str"/>
      <x:c r="K22" t="str"/>
      <x:c r="L22" t="str">
        <x:v>No</x:v>
      </x:c>
      <x:c r="M22" t="str">
        <x:v>No</x:v>
      </x:c>
      <x:c r="N22" t="str"/>
    </x:row>
    <x:row r="23">
      <x:c r="A23" t="str">
        <x:v>Masvingo</x:v>
      </x:c>
      <x:c r="B23" t="str"/>
      <x:c r="C23" t="str"/>
      <x:c r="D23" t="str"/>
      <x:c r="E23" t="str">
        <x:v>Active</x:v>
      </x:c>
      <x:c r="F23" t="str">
        <x:v>Diesel</x:v>
      </x:c>
      <x:c r="G23" t="str"/>
      <x:c r="H23" t="str"/>
      <x:c r="I23" t="str"/>
      <x:c r="J23" t="str"/>
      <x:c r="K23" t="str"/>
      <x:c r="L23" t="str">
        <x:v>No</x:v>
      </x:c>
      <x:c r="M23" t="str">
        <x:v>No</x:v>
      </x:c>
      <x:c r="N23" t="str"/>
    </x:row>
    <x:row r="24">
      <x:c r="A24" t="str">
        <x:v>Masvingo</x:v>
      </x:c>
      <x:c r="B24" t="str"/>
      <x:c r="C24" t="str"/>
      <x:c r="D24" t="str"/>
      <x:c r="E24" t="str">
        <x:v>Active</x:v>
      </x:c>
      <x:c r="F24" t="str">
        <x:v>Petrol</x:v>
      </x:c>
      <x:c r="G24" t="str"/>
      <x:c r="H24" t="str"/>
      <x:c r="I24" t="str"/>
      <x:c r="J24" t="str"/>
      <x:c r="K24" t="str"/>
      <x:c r="L24" t="str">
        <x:v>No</x:v>
      </x:c>
      <x:c r="M24" t="str">
        <x:v>No</x:v>
      </x:c>
      <x:c r="N24" t="str"/>
    </x:row>
    <x:row r="25">
      <x:c r="A25" t="str">
        <x:v>Bulawayo</x:v>
      </x:c>
      <x:c r="B25" t="str"/>
      <x:c r="C25" t="str"/>
      <x:c r="D25" t="str"/>
      <x:c r="E25" t="str">
        <x:v>Active</x:v>
      </x:c>
      <x:c r="F25" t="str">
        <x:v>Diesel</x:v>
      </x:c>
      <x:c r="G25" t="str"/>
      <x:c r="H25" t="str"/>
      <x:c r="I25" t="str"/>
      <x:c r="J25" t="str"/>
      <x:c r="K25" t="str"/>
      <x:c r="L25" t="str">
        <x:v>No</x:v>
      </x:c>
      <x:c r="M25" t="str">
        <x:v>No</x:v>
      </x:c>
      <x:c r="N25" t="str"/>
    </x:row>
    <x:row r="26">
      <x:c r="A26" t="str">
        <x:v>Bulawayo</x:v>
      </x:c>
      <x:c r="B26" t="str"/>
      <x:c r="C26" t="str"/>
      <x:c r="D26" t="str"/>
      <x:c r="E26" t="str">
        <x:v>Active</x:v>
      </x:c>
      <x:c r="F26" t="str">
        <x:v>Petrol</x:v>
      </x:c>
      <x:c r="G26" t="str"/>
      <x:c r="H26" t="str"/>
      <x:c r="I26" t="str"/>
      <x:c r="J26" t="str"/>
      <x:c r="K26" t="str"/>
      <x:c r="L26" t="str">
        <x:v>No</x:v>
      </x:c>
      <x:c r="M26" t="str">
        <x:v>No</x:v>
      </x:c>
      <x:c r="N26" t="str"/>
    </x:row>
  </x:sheetData>
  <x:mergeCells>
    <x:mergeCell ref="A1:N1"/>
    <x:mergeCell ref="A2:N2"/>
  </x:mergeCells>
  <x:dataValidations count="3">
    <x:dataValidation type="list" sqref="E5:E26">
      <x:formula1>"Active,Maintenance,Out of Service,Archived"</x:formula1>
    </x:dataValidation>
    <x:dataValidation type="list" sqref="F5:F26">
      <x:formula1>"Diesel,Petrol,Other"</x:formula1>
    </x:dataValidation>
    <x:dataValidation type="list" sqref="L5:M2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5195946ebb453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0" hidden="0" customWidth="1"/>
    <x:col min="5" max="5" width="18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24" hidden="0" customWidth="1"/>
    <x:col min="12" max="12" width="10" hidden="0" customWidth="1"/>
    <x:col min="13" max="13" width="22" hidden="0" customWidth="1"/>
    <x:col min="14" max="14" width="34" hidden="0" customWidth="1"/>
  </x:cols>
  <x:sheetData>
    <x:row r="1" ht="28" customHeight="1">
      <x:c r="A1" s="4" t="str">
        <x:v>Supplier Master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2" customHeight="1">
      <x:c r="A2" s="10" t="str">
        <x:v>Add initial fuel suppliers, transporters and major recurring vendors. Terms entered here are defaults; invoices snapshot their actual terms.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6" t="str">
        <x:v>Supplier Code</x:v>
      </x:c>
      <x:c r="B4" s="16" t="str">
        <x:v>Legal / Trading Name</x:v>
      </x:c>
      <x:c r="C4" s="16" t="str">
        <x:v>Supplier Type</x:v>
      </x:c>
      <x:c r="D4" s="16" t="str">
        <x:v>Currency</x:v>
      </x:c>
      <x:c r="E4" s="16" t="str">
        <x:v>Default Credit Days</x:v>
      </x:c>
      <x:c r="F4" s="16" t="str">
        <x:v>Credit Limit</x:v>
      </x:c>
      <x:c r="G4" s="16" t="str">
        <x:v>Fuel Products</x:v>
      </x:c>
      <x:c r="H4" s="16" t="str">
        <x:v>Transport Separate?</x:v>
      </x:c>
      <x:c r="I4" s="16" t="str">
        <x:v>Due Reminder Days</x:v>
      </x:c>
      <x:c r="J4" s="16" t="str">
        <x:v>Primary Contact</x:v>
      </x:c>
      <x:c r="K4" s="16" t="str">
        <x:v>Phone / Email</x:v>
      </x:c>
      <x:c r="L4" s="16" t="str">
        <x:v>Active?</x:v>
      </x:c>
      <x:c r="M4" s="16" t="str">
        <x:v>Existing Balance at Cutover?</x:v>
      </x:c>
      <x:c r="N4" s="16" t="str">
        <x:v>Notes</x:v>
      </x:c>
    </x:row>
    <x:row r="5">
      <x:c r="A5" t="str"/>
      <x:c r="B5" t="str"/>
      <x:c r="C5" t="str">
        <x:v>Fuel supplier</x:v>
      </x:c>
      <x:c r="D5" t="str">
        <x:v>USD</x:v>
      </x:c>
      <x:c r="E5" t="str"/>
      <x:c r="F5" t="str"/>
      <x:c r="G5" t="str"/>
      <x:c r="H5" t="str">
        <x:v>To confirm</x:v>
      </x:c>
      <x:c r="I5" t="n">
        <x:v>7</x:v>
      </x:c>
      <x:c r="J5" t="str"/>
      <x:c r="K5" t="str"/>
      <x:c r="L5" t="str">
        <x:v>Yes</x:v>
      </x:c>
      <x:c r="M5" t="str">
        <x:v>No</x:v>
      </x:c>
      <x:c r="N5" t="str"/>
    </x:row>
    <x:row r="6">
      <x:c r="A6" t="str"/>
      <x:c r="B6" t="str"/>
      <x:c r="C6" t="str">
        <x:v>Fuel supplier</x:v>
      </x:c>
      <x:c r="D6" t="str">
        <x:v>USD</x:v>
      </x:c>
      <x:c r="E6" t="str"/>
      <x:c r="F6" t="str"/>
      <x:c r="G6" t="str"/>
      <x:c r="H6" t="str">
        <x:v>To confirm</x:v>
      </x:c>
      <x:c r="I6" t="n">
        <x:v>7</x:v>
      </x:c>
      <x:c r="J6" t="str"/>
      <x:c r="K6" t="str"/>
      <x:c r="L6" t="str">
        <x:v>Yes</x:v>
      </x:c>
      <x:c r="M6" t="str">
        <x:v>No</x:v>
      </x:c>
      <x:c r="N6" t="str"/>
    </x:row>
    <x:row r="7">
      <x:c r="A7" t="str"/>
      <x:c r="B7" t="str"/>
      <x:c r="C7" t="str">
        <x:v>Fuel supplier</x:v>
      </x:c>
      <x:c r="D7" t="str">
        <x:v>USD</x:v>
      </x:c>
      <x:c r="E7" t="str"/>
      <x:c r="F7" t="str"/>
      <x:c r="G7" t="str"/>
      <x:c r="H7" t="str">
        <x:v>To confirm</x:v>
      </x:c>
      <x:c r="I7" t="n">
        <x:v>7</x:v>
      </x:c>
      <x:c r="J7" t="str"/>
      <x:c r="K7" t="str"/>
      <x:c r="L7" t="str">
        <x:v>Yes</x:v>
      </x:c>
      <x:c r="M7" t="str">
        <x:v>No</x:v>
      </x:c>
      <x:c r="N7" t="str"/>
    </x:row>
    <x:row r="8">
      <x:c r="A8" t="str"/>
      <x:c r="B8" t="str"/>
      <x:c r="C8" t="str">
        <x:v>Fuel supplier</x:v>
      </x:c>
      <x:c r="D8" t="str">
        <x:v>USD</x:v>
      </x:c>
      <x:c r="E8" t="str"/>
      <x:c r="F8" t="str"/>
      <x:c r="G8" t="str"/>
      <x:c r="H8" t="str">
        <x:v>To confirm</x:v>
      </x:c>
      <x:c r="I8" t="n">
        <x:v>7</x:v>
      </x:c>
      <x:c r="J8" t="str"/>
      <x:c r="K8" t="str"/>
      <x:c r="L8" t="str">
        <x:v>Yes</x:v>
      </x:c>
      <x:c r="M8" t="str">
        <x:v>No</x:v>
      </x:c>
      <x:c r="N8" t="str"/>
    </x:row>
    <x:row r="9">
      <x:c r="A9" t="str"/>
      <x:c r="B9" t="str"/>
      <x:c r="C9" t="str">
        <x:v>Fuel supplier</x:v>
      </x:c>
      <x:c r="D9" t="str">
        <x:v>USD</x:v>
      </x:c>
      <x:c r="E9" t="str"/>
      <x:c r="F9" t="str"/>
      <x:c r="G9" t="str"/>
      <x:c r="H9" t="str">
        <x:v>To confirm</x:v>
      </x:c>
      <x:c r="I9" t="n">
        <x:v>7</x:v>
      </x:c>
      <x:c r="J9" t="str"/>
      <x:c r="K9" t="str"/>
      <x:c r="L9" t="str">
        <x:v>Yes</x:v>
      </x:c>
      <x:c r="M9" t="str">
        <x:v>No</x:v>
      </x:c>
      <x:c r="N9" t="str"/>
    </x:row>
    <x:row r="10">
      <x:c r="A10" t="str"/>
      <x:c r="B10" t="str"/>
      <x:c r="C10" t="str">
        <x:v>Fuel supplier</x:v>
      </x:c>
      <x:c r="D10" t="str">
        <x:v>USD</x:v>
      </x:c>
      <x:c r="E10" t="str"/>
      <x:c r="F10" t="str"/>
      <x:c r="G10" t="str"/>
      <x:c r="H10" t="str">
        <x:v>To confirm</x:v>
      </x:c>
      <x:c r="I10" t="n">
        <x:v>7</x:v>
      </x:c>
      <x:c r="J10" t="str"/>
      <x:c r="K10" t="str"/>
      <x:c r="L10" t="str">
        <x:v>Yes</x:v>
      </x:c>
      <x:c r="M10" t="str">
        <x:v>No</x:v>
      </x:c>
      <x:c r="N10" t="str"/>
    </x:row>
    <x:row r="11">
      <x:c r="A11" t="str"/>
      <x:c r="B11" t="str"/>
      <x:c r="C11" t="str">
        <x:v>Fuel supplier</x:v>
      </x:c>
      <x:c r="D11" t="str">
        <x:v>USD</x:v>
      </x:c>
      <x:c r="E11" t="str"/>
      <x:c r="F11" t="str"/>
      <x:c r="G11" t="str"/>
      <x:c r="H11" t="str">
        <x:v>To confirm</x:v>
      </x:c>
      <x:c r="I11" t="n">
        <x:v>7</x:v>
      </x:c>
      <x:c r="J11" t="str"/>
      <x:c r="K11" t="str"/>
      <x:c r="L11" t="str">
        <x:v>Yes</x:v>
      </x:c>
      <x:c r="M11" t="str">
        <x:v>No</x:v>
      </x:c>
      <x:c r="N11" t="str"/>
    </x:row>
    <x:row r="12">
      <x:c r="A12" t="str"/>
      <x:c r="B12" t="str"/>
      <x:c r="C12" t="str">
        <x:v>Fuel supplier</x:v>
      </x:c>
      <x:c r="D12" t="str">
        <x:v>USD</x:v>
      </x:c>
      <x:c r="E12" t="str"/>
      <x:c r="F12" t="str"/>
      <x:c r="G12" t="str"/>
      <x:c r="H12" t="str">
        <x:v>To confirm</x:v>
      </x:c>
      <x:c r="I12" t="n">
        <x:v>7</x:v>
      </x:c>
      <x:c r="J12" t="str"/>
      <x:c r="K12" t="str"/>
      <x:c r="L12" t="str">
        <x:v>Yes</x:v>
      </x:c>
      <x:c r="M12" t="str">
        <x:v>No</x:v>
      </x:c>
      <x:c r="N12" t="str"/>
    </x:row>
    <x:row r="13">
      <x:c r="A13" t="str"/>
      <x:c r="B13" t="str"/>
      <x:c r="C13" t="str">
        <x:v>Fuel supplier</x:v>
      </x:c>
      <x:c r="D13" t="str">
        <x:v>USD</x:v>
      </x:c>
      <x:c r="E13" t="str"/>
      <x:c r="F13" t="str"/>
      <x:c r="G13" t="str"/>
      <x:c r="H13" t="str">
        <x:v>To confirm</x:v>
      </x:c>
      <x:c r="I13" t="n">
        <x:v>7</x:v>
      </x:c>
      <x:c r="J13" t="str"/>
      <x:c r="K13" t="str"/>
      <x:c r="L13" t="str">
        <x:v>Yes</x:v>
      </x:c>
      <x:c r="M13" t="str">
        <x:v>No</x:v>
      </x:c>
      <x:c r="N13" t="str"/>
    </x:row>
    <x:row r="14">
      <x:c r="A14" t="str"/>
      <x:c r="B14" t="str"/>
      <x:c r="C14" t="str">
        <x:v>Fuel supplier</x:v>
      </x:c>
      <x:c r="D14" t="str">
        <x:v>USD</x:v>
      </x:c>
      <x:c r="E14" t="str"/>
      <x:c r="F14" t="str"/>
      <x:c r="G14" t="str"/>
      <x:c r="H14" t="str">
        <x:v>To confirm</x:v>
      </x:c>
      <x:c r="I14" t="n">
        <x:v>7</x:v>
      </x:c>
      <x:c r="J14" t="str"/>
      <x:c r="K14" t="str"/>
      <x:c r="L14" t="str">
        <x:v>Yes</x:v>
      </x:c>
      <x:c r="M14" t="str">
        <x:v>No</x:v>
      </x:c>
      <x:c r="N14" t="str"/>
    </x:row>
    <x:row r="15">
      <x:c r="A15" t="str"/>
      <x:c r="B15" t="str"/>
      <x:c r="C15" t="str">
        <x:v>Fuel supplier</x:v>
      </x:c>
      <x:c r="D15" t="str">
        <x:v>USD</x:v>
      </x:c>
      <x:c r="E15" t="str"/>
      <x:c r="F15" t="str"/>
      <x:c r="G15" t="str"/>
      <x:c r="H15" t="str">
        <x:v>To confirm</x:v>
      </x:c>
      <x:c r="I15" t="n">
        <x:v>7</x:v>
      </x:c>
      <x:c r="J15" t="str"/>
      <x:c r="K15" t="str"/>
      <x:c r="L15" t="str">
        <x:v>Yes</x:v>
      </x:c>
      <x:c r="M15" t="str">
        <x:v>No</x:v>
      </x:c>
      <x:c r="N15" t="str"/>
    </x:row>
    <x:row r="16">
      <x:c r="A16" t="str"/>
      <x:c r="B16" t="str"/>
      <x:c r="C16" t="str">
        <x:v>Fuel supplier</x:v>
      </x:c>
      <x:c r="D16" t="str">
        <x:v>USD</x:v>
      </x:c>
      <x:c r="E16" t="str"/>
      <x:c r="F16" t="str"/>
      <x:c r="G16" t="str"/>
      <x:c r="H16" t="str">
        <x:v>To confirm</x:v>
      </x:c>
      <x:c r="I16" t="n">
        <x:v>7</x:v>
      </x:c>
      <x:c r="J16" t="str"/>
      <x:c r="K16" t="str"/>
      <x:c r="L16" t="str">
        <x:v>Yes</x:v>
      </x:c>
      <x:c r="M16" t="str">
        <x:v>No</x:v>
      </x:c>
      <x:c r="N16" t="str"/>
    </x:row>
    <x:row r="17">
      <x:c r="A17" t="str"/>
      <x:c r="B17" t="str"/>
      <x:c r="C17" t="str">
        <x:v>Fuel supplier</x:v>
      </x:c>
      <x:c r="D17" t="str">
        <x:v>USD</x:v>
      </x:c>
      <x:c r="E17" t="str"/>
      <x:c r="F17" t="str"/>
      <x:c r="G17" t="str"/>
      <x:c r="H17" t="str">
        <x:v>To confirm</x:v>
      </x:c>
      <x:c r="I17" t="n">
        <x:v>7</x:v>
      </x:c>
      <x:c r="J17" t="str"/>
      <x:c r="K17" t="str"/>
      <x:c r="L17" t="str">
        <x:v>Yes</x:v>
      </x:c>
      <x:c r="M17" t="str">
        <x:v>No</x:v>
      </x:c>
      <x:c r="N17" t="str"/>
    </x:row>
    <x:row r="18">
      <x:c r="A18" t="str"/>
      <x:c r="B18" t="str"/>
      <x:c r="C18" t="str">
        <x:v>Fuel supplier</x:v>
      </x:c>
      <x:c r="D18" t="str">
        <x:v>USD</x:v>
      </x:c>
      <x:c r="E18" t="str"/>
      <x:c r="F18" t="str"/>
      <x:c r="G18" t="str"/>
      <x:c r="H18" t="str">
        <x:v>To confirm</x:v>
      </x:c>
      <x:c r="I18" t="n">
        <x:v>7</x:v>
      </x:c>
      <x:c r="J18" t="str"/>
      <x:c r="K18" t="str"/>
      <x:c r="L18" t="str">
        <x:v>Yes</x:v>
      </x:c>
      <x:c r="M18" t="str">
        <x:v>No</x:v>
      </x:c>
      <x:c r="N18" t="str"/>
    </x:row>
    <x:row r="19">
      <x:c r="A19" t="str"/>
      <x:c r="B19" t="str"/>
      <x:c r="C19" t="str">
        <x:v>Fuel supplier</x:v>
      </x:c>
      <x:c r="D19" t="str">
        <x:v>USD</x:v>
      </x:c>
      <x:c r="E19" t="str"/>
      <x:c r="F19" t="str"/>
      <x:c r="G19" t="str"/>
      <x:c r="H19" t="str">
        <x:v>To confirm</x:v>
      </x:c>
      <x:c r="I19" t="n">
        <x:v>7</x:v>
      </x:c>
      <x:c r="J19" t="str"/>
      <x:c r="K19" t="str"/>
      <x:c r="L19" t="str">
        <x:v>Yes</x:v>
      </x:c>
      <x:c r="M19" t="str">
        <x:v>No</x:v>
      </x:c>
      <x:c r="N19" t="str"/>
    </x:row>
    <x:row r="20">
      <x:c r="A20" t="str"/>
      <x:c r="B20" t="str"/>
      <x:c r="C20" t="str">
        <x:v>Fuel supplier</x:v>
      </x:c>
      <x:c r="D20" t="str">
        <x:v>USD</x:v>
      </x:c>
      <x:c r="E20" t="str"/>
      <x:c r="F20" t="str"/>
      <x:c r="G20" t="str"/>
      <x:c r="H20" t="str">
        <x:v>To confirm</x:v>
      </x:c>
      <x:c r="I20" t="n">
        <x:v>7</x:v>
      </x:c>
      <x:c r="J20" t="str"/>
      <x:c r="K20" t="str"/>
      <x:c r="L20" t="str">
        <x:v>Yes</x:v>
      </x:c>
      <x:c r="M20" t="str">
        <x:v>No</x:v>
      </x:c>
      <x:c r="N20" t="str"/>
    </x:row>
    <x:row r="21">
      <x:c r="A21" t="str"/>
      <x:c r="B21" t="str"/>
      <x:c r="C21" t="str">
        <x:v>Fuel supplier</x:v>
      </x:c>
      <x:c r="D21" t="str">
        <x:v>USD</x:v>
      </x:c>
      <x:c r="E21" t="str"/>
      <x:c r="F21" t="str"/>
      <x:c r="G21" t="str"/>
      <x:c r="H21" t="str">
        <x:v>To confirm</x:v>
      </x:c>
      <x:c r="I21" t="n">
        <x:v>7</x:v>
      </x:c>
      <x:c r="J21" t="str"/>
      <x:c r="K21" t="str"/>
      <x:c r="L21" t="str">
        <x:v>Yes</x:v>
      </x:c>
      <x:c r="M21" t="str">
        <x:v>No</x:v>
      </x:c>
      <x:c r="N21" t="str"/>
    </x:row>
    <x:row r="22">
      <x:c r="A22" t="str"/>
      <x:c r="B22" t="str"/>
      <x:c r="C22" t="str">
        <x:v>Fuel supplier</x:v>
      </x:c>
      <x:c r="D22" t="str">
        <x:v>USD</x:v>
      </x:c>
      <x:c r="E22" t="str"/>
      <x:c r="F22" t="str"/>
      <x:c r="G22" t="str"/>
      <x:c r="H22" t="str">
        <x:v>To confirm</x:v>
      </x:c>
      <x:c r="I22" t="n">
        <x:v>7</x:v>
      </x:c>
      <x:c r="J22" t="str"/>
      <x:c r="K22" t="str"/>
      <x:c r="L22" t="str">
        <x:v>Yes</x:v>
      </x:c>
      <x:c r="M22" t="str">
        <x:v>No</x:v>
      </x:c>
      <x:c r="N22" t="str"/>
    </x:row>
    <x:row r="23">
      <x:c r="A23" t="str"/>
      <x:c r="B23" t="str"/>
      <x:c r="C23" t="str">
        <x:v>Fuel supplier</x:v>
      </x:c>
      <x:c r="D23" t="str">
        <x:v>USD</x:v>
      </x:c>
      <x:c r="E23" t="str"/>
      <x:c r="F23" t="str"/>
      <x:c r="G23" t="str"/>
      <x:c r="H23" t="str">
        <x:v>To confirm</x:v>
      </x:c>
      <x:c r="I23" t="n">
        <x:v>7</x:v>
      </x:c>
      <x:c r="J23" t="str"/>
      <x:c r="K23" t="str"/>
      <x:c r="L23" t="str">
        <x:v>Yes</x:v>
      </x:c>
      <x:c r="M23" t="str">
        <x:v>No</x:v>
      </x:c>
      <x:c r="N23" t="str"/>
    </x:row>
    <x:row r="24">
      <x:c r="A24" t="str"/>
      <x:c r="B24" t="str"/>
      <x:c r="C24" t="str">
        <x:v>Fuel supplier</x:v>
      </x:c>
      <x:c r="D24" t="str">
        <x:v>USD</x:v>
      </x:c>
      <x:c r="E24" t="str"/>
      <x:c r="F24" t="str"/>
      <x:c r="G24" t="str"/>
      <x:c r="H24" t="str">
        <x:v>To confirm</x:v>
      </x:c>
      <x:c r="I24" t="n">
        <x:v>7</x:v>
      </x:c>
      <x:c r="J24" t="str"/>
      <x:c r="K24" t="str"/>
      <x:c r="L24" t="str">
        <x:v>Yes</x:v>
      </x:c>
      <x:c r="M24" t="str">
        <x:v>No</x:v>
      </x:c>
      <x:c r="N24" t="str"/>
    </x:row>
    <x:row r="25">
      <x:c r="A25" t="str"/>
      <x:c r="B25" t="str"/>
      <x:c r="C25" t="str">
        <x:v>Fuel supplier</x:v>
      </x:c>
      <x:c r="D25" t="str">
        <x:v>USD</x:v>
      </x:c>
      <x:c r="E25" t="str"/>
      <x:c r="F25" t="str"/>
      <x:c r="G25" t="str"/>
      <x:c r="H25" t="str">
        <x:v>To confirm</x:v>
      </x:c>
      <x:c r="I25" t="n">
        <x:v>7</x:v>
      </x:c>
      <x:c r="J25" t="str"/>
      <x:c r="K25" t="str"/>
      <x:c r="L25" t="str">
        <x:v>Yes</x:v>
      </x:c>
      <x:c r="M25" t="str">
        <x:v>No</x:v>
      </x:c>
      <x:c r="N25" t="str"/>
    </x:row>
    <x:row r="26">
      <x:c r="A26" t="str"/>
      <x:c r="B26" t="str"/>
      <x:c r="C26" t="str">
        <x:v>Fuel supplier</x:v>
      </x:c>
      <x:c r="D26" t="str">
        <x:v>USD</x:v>
      </x:c>
      <x:c r="E26" t="str"/>
      <x:c r="F26" t="str"/>
      <x:c r="G26" t="str"/>
      <x:c r="H26" t="str">
        <x:v>To confirm</x:v>
      </x:c>
      <x:c r="I26" t="n">
        <x:v>7</x:v>
      </x:c>
      <x:c r="J26" t="str"/>
      <x:c r="K26" t="str"/>
      <x:c r="L26" t="str">
        <x:v>Yes</x:v>
      </x:c>
      <x:c r="M26" t="str">
        <x:v>No</x:v>
      </x:c>
      <x:c r="N26" t="str"/>
    </x:row>
    <x:row r="27">
      <x:c r="A27" t="str"/>
      <x:c r="B27" t="str"/>
      <x:c r="C27" t="str">
        <x:v>Fuel supplier</x:v>
      </x:c>
      <x:c r="D27" t="str">
        <x:v>USD</x:v>
      </x:c>
      <x:c r="E27" t="str"/>
      <x:c r="F27" t="str"/>
      <x:c r="G27" t="str"/>
      <x:c r="H27" t="str">
        <x:v>To confirm</x:v>
      </x:c>
      <x:c r="I27" t="n">
        <x:v>7</x:v>
      </x:c>
      <x:c r="J27" t="str"/>
      <x:c r="K27" t="str"/>
      <x:c r="L27" t="str">
        <x:v>Yes</x:v>
      </x:c>
      <x:c r="M27" t="str">
        <x:v>No</x:v>
      </x:c>
      <x:c r="N27" t="str"/>
    </x:row>
    <x:row r="28">
      <x:c r="A28" t="str"/>
      <x:c r="B28" t="str"/>
      <x:c r="C28" t="str">
        <x:v>Fuel supplier</x:v>
      </x:c>
      <x:c r="D28" t="str">
        <x:v>USD</x:v>
      </x:c>
      <x:c r="E28" t="str"/>
      <x:c r="F28" t="str"/>
      <x:c r="G28" t="str"/>
      <x:c r="H28" t="str">
        <x:v>To confirm</x:v>
      </x:c>
      <x:c r="I28" t="n">
        <x:v>7</x:v>
      </x:c>
      <x:c r="J28" t="str"/>
      <x:c r="K28" t="str"/>
      <x:c r="L28" t="str">
        <x:v>Yes</x:v>
      </x:c>
      <x:c r="M28" t="str">
        <x:v>No</x:v>
      </x:c>
      <x:c r="N28" t="str"/>
    </x:row>
    <x:row r="29">
      <x:c r="A29" t="str"/>
      <x:c r="B29" t="str"/>
      <x:c r="C29" t="str">
        <x:v>Fuel supplier</x:v>
      </x:c>
      <x:c r="D29" t="str">
        <x:v>USD</x:v>
      </x:c>
      <x:c r="E29" t="str"/>
      <x:c r="F29" t="str"/>
      <x:c r="G29" t="str"/>
      <x:c r="H29" t="str">
        <x:v>To confirm</x:v>
      </x:c>
      <x:c r="I29" t="n">
        <x:v>7</x:v>
      </x:c>
      <x:c r="J29" t="str"/>
      <x:c r="K29" t="str"/>
      <x:c r="L29" t="str">
        <x:v>Yes</x:v>
      </x:c>
      <x:c r="M29" t="str">
        <x:v>No</x:v>
      </x:c>
      <x:c r="N29" t="str"/>
    </x:row>
    <x:row r="30">
      <x:c r="A30" t="str"/>
      <x:c r="B30" t="str"/>
      <x:c r="C30" t="str">
        <x:v>Fuel supplier</x:v>
      </x:c>
      <x:c r="D30" t="str">
        <x:v>USD</x:v>
      </x:c>
      <x:c r="E30" t="str"/>
      <x:c r="F30" t="str"/>
      <x:c r="G30" t="str"/>
      <x:c r="H30" t="str">
        <x:v>To confirm</x:v>
      </x:c>
      <x:c r="I30" t="n">
        <x:v>7</x:v>
      </x:c>
      <x:c r="J30" t="str"/>
      <x:c r="K30" t="str"/>
      <x:c r="L30" t="str">
        <x:v>Yes</x:v>
      </x:c>
      <x:c r="M30" t="str">
        <x:v>No</x:v>
      </x:c>
      <x:c r="N30" t="str"/>
    </x:row>
  </x:sheetData>
  <x:mergeCells>
    <x:mergeCell ref="A1:N1"/>
    <x:mergeCell ref="A2:N2"/>
  </x:mergeCells>
  <x:dataValidations count="3">
    <x:dataValidation type="list" sqref="C5:C30">
      <x:formula1>"Fuel supplier,Transporter,Other vendor"</x:formula1>
    </x:dataValidation>
    <x:dataValidation type="list" sqref="H5:H30">
      <x:formula1>"Yes,No,To confirm"</x:formula1>
    </x:dataValidation>
    <x:dataValidation type="list" sqref="L5:M3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62bb0f648245b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0" hidden="0" customWidth="1"/>
    <x:col min="5" max="5" width="12" hidden="0" customWidth="1"/>
    <x:col min="6" max="6" width="18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22" hidden="0" customWidth="1"/>
    <x:col min="15" max="15" width="10" hidden="0" customWidth="1"/>
    <x:col min="16" max="16" width="34" hidden="0" customWidth="1"/>
  </x:cols>
  <x:sheetData>
    <x:row r="1" ht="28" customHeight="1">
      <x:c r="A1" s="4" t="str">
        <x:v>Customer &amp; Account Master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2" customHeight="1">
      <x:c r="A2" s="10" t="str">
        <x:v>A customer may have separate Credit, Prepaid Value, Prepaid Litres and Benefit accounts. Do not mix these balances.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>
      <x:c r="A4" s="16" t="str">
        <x:v>Customer Code</x:v>
      </x:c>
      <x:c r="B4" s="16" t="str">
        <x:v>Customer / Beneficiary</x:v>
      </x:c>
      <x:c r="C4" s="16" t="str">
        <x:v>Account Type</x:v>
      </x:c>
      <x:c r="D4" s="16" t="str">
        <x:v>Currency</x:v>
      </x:c>
      <x:c r="E4" s="16" t="str">
        <x:v>Product</x:v>
      </x:c>
      <x:c r="F4" s="16" t="str">
        <x:v>Credit / Value Limit</x:v>
      </x:c>
      <x:c r="G4" s="16" t="str">
        <x:v>Opening Balance</x:v>
      </x:c>
      <x:c r="H4" s="16" t="str">
        <x:v>Billing Mode</x:v>
      </x:c>
      <x:c r="I4" s="16" t="str">
        <x:v>Payment Terms Days</x:v>
      </x:c>
      <x:c r="J4" s="16" t="str">
        <x:v>Vehicle Restriction?</x:v>
      </x:c>
      <x:c r="K4" s="16" t="str">
        <x:v>Driver Restriction?</x:v>
      </x:c>
      <x:c r="L4" s="16" t="str">
        <x:v>Station Restriction?</x:v>
      </x:c>
      <x:c r="M4" s="16" t="str">
        <x:v>Custom Price?</x:v>
      </x:c>
      <x:c r="N4" s="16" t="str">
        <x:v>Primary Contact</x:v>
      </x:c>
      <x:c r="O4" s="16" t="str">
        <x:v>Active?</x:v>
      </x:c>
      <x:c r="P4" s="16" t="str">
        <x:v>Notes</x:v>
      </x:c>
    </x:row>
    <x:row r="5">
      <x:c r="A5" t="str"/>
      <x:c r="B5" t="str"/>
      <x:c r="C5" t="str">
        <x:v>Credit</x:v>
      </x:c>
      <x:c r="D5" t="str">
        <x:v>USD</x:v>
      </x:c>
      <x:c r="E5" t="str"/>
      <x:c r="F5" t="str"/>
      <x:c r="G5" t="str"/>
      <x:c r="H5" t="str">
        <x:v>Monthly</x:v>
      </x:c>
      <x:c r="I5" t="str"/>
      <x:c r="J5" t="str">
        <x:v>No</x:v>
      </x:c>
      <x:c r="K5" t="str">
        <x:v>No</x:v>
      </x:c>
      <x:c r="L5" t="str">
        <x:v>No</x:v>
      </x:c>
      <x:c r="M5" t="str">
        <x:v>No</x:v>
      </x:c>
      <x:c r="N5" t="str"/>
      <x:c r="O5" t="str">
        <x:v>Yes</x:v>
      </x:c>
      <x:c r="P5" t="str"/>
    </x:row>
    <x:row r="6">
      <x:c r="A6" t="str"/>
      <x:c r="B6" t="str"/>
      <x:c r="C6" t="str">
        <x:v>Credit</x:v>
      </x:c>
      <x:c r="D6" t="str">
        <x:v>USD</x:v>
      </x:c>
      <x:c r="E6" t="str"/>
      <x:c r="F6" t="str"/>
      <x:c r="G6" t="str"/>
      <x:c r="H6" t="str">
        <x:v>Monthly</x:v>
      </x:c>
      <x:c r="I6" t="str"/>
      <x:c r="J6" t="str">
        <x:v>No</x:v>
      </x:c>
      <x:c r="K6" t="str">
        <x:v>No</x:v>
      </x:c>
      <x:c r="L6" t="str">
        <x:v>No</x:v>
      </x:c>
      <x:c r="M6" t="str">
        <x:v>No</x:v>
      </x:c>
      <x:c r="N6" t="str"/>
      <x:c r="O6" t="str">
        <x:v>Yes</x:v>
      </x:c>
      <x:c r="P6" t="str"/>
    </x:row>
    <x:row r="7">
      <x:c r="A7" t="str"/>
      <x:c r="B7" t="str"/>
      <x:c r="C7" t="str">
        <x:v>Credit</x:v>
      </x:c>
      <x:c r="D7" t="str">
        <x:v>USD</x:v>
      </x:c>
      <x:c r="E7" t="str"/>
      <x:c r="F7" t="str"/>
      <x:c r="G7" t="str"/>
      <x:c r="H7" t="str">
        <x:v>Monthly</x:v>
      </x:c>
      <x:c r="I7" t="str"/>
      <x:c r="J7" t="str">
        <x:v>No</x:v>
      </x:c>
      <x:c r="K7" t="str">
        <x:v>No</x:v>
      </x:c>
      <x:c r="L7" t="str">
        <x:v>No</x:v>
      </x:c>
      <x:c r="M7" t="str">
        <x:v>No</x:v>
      </x:c>
      <x:c r="N7" t="str"/>
      <x:c r="O7" t="str">
        <x:v>Yes</x:v>
      </x:c>
      <x:c r="P7" t="str"/>
    </x:row>
    <x:row r="8">
      <x:c r="A8" t="str"/>
      <x:c r="B8" t="str"/>
      <x:c r="C8" t="str">
        <x:v>Credit</x:v>
      </x:c>
      <x:c r="D8" t="str">
        <x:v>USD</x:v>
      </x:c>
      <x:c r="E8" t="str"/>
      <x:c r="F8" t="str"/>
      <x:c r="G8" t="str"/>
      <x:c r="H8" t="str">
        <x:v>Monthly</x:v>
      </x:c>
      <x:c r="I8" t="str"/>
      <x:c r="J8" t="str">
        <x:v>No</x:v>
      </x:c>
      <x:c r="K8" t="str">
        <x:v>No</x:v>
      </x:c>
      <x:c r="L8" t="str">
        <x:v>No</x:v>
      </x:c>
      <x:c r="M8" t="str">
        <x:v>No</x:v>
      </x:c>
      <x:c r="N8" t="str"/>
      <x:c r="O8" t="str">
        <x:v>Yes</x:v>
      </x:c>
      <x:c r="P8" t="str"/>
    </x:row>
    <x:row r="9">
      <x:c r="A9" t="str"/>
      <x:c r="B9" t="str"/>
      <x:c r="C9" t="str">
        <x:v>Credit</x:v>
      </x:c>
      <x:c r="D9" t="str">
        <x:v>USD</x:v>
      </x:c>
      <x:c r="E9" t="str"/>
      <x:c r="F9" t="str"/>
      <x:c r="G9" t="str"/>
      <x:c r="H9" t="str">
        <x:v>Monthly</x:v>
      </x:c>
      <x:c r="I9" t="str"/>
      <x:c r="J9" t="str">
        <x:v>No</x:v>
      </x:c>
      <x:c r="K9" t="str">
        <x:v>No</x:v>
      </x:c>
      <x:c r="L9" t="str">
        <x:v>No</x:v>
      </x:c>
      <x:c r="M9" t="str">
        <x:v>No</x:v>
      </x:c>
      <x:c r="N9" t="str"/>
      <x:c r="O9" t="str">
        <x:v>Yes</x:v>
      </x:c>
      <x:c r="P9" t="str"/>
    </x:row>
    <x:row r="10">
      <x:c r="A10" t="str"/>
      <x:c r="B10" t="str"/>
      <x:c r="C10" t="str">
        <x:v>Credit</x:v>
      </x:c>
      <x:c r="D10" t="str">
        <x:v>USD</x:v>
      </x:c>
      <x:c r="E10" t="str"/>
      <x:c r="F10" t="str"/>
      <x:c r="G10" t="str"/>
      <x:c r="H10" t="str">
        <x:v>Monthly</x:v>
      </x:c>
      <x:c r="I10" t="str"/>
      <x:c r="J10" t="str">
        <x:v>No</x:v>
      </x:c>
      <x:c r="K10" t="str">
        <x:v>No</x:v>
      </x:c>
      <x:c r="L10" t="str">
        <x:v>No</x:v>
      </x:c>
      <x:c r="M10" t="str">
        <x:v>No</x:v>
      </x:c>
      <x:c r="N10" t="str"/>
      <x:c r="O10" t="str">
        <x:v>Yes</x:v>
      </x:c>
      <x:c r="P10" t="str"/>
    </x:row>
    <x:row r="11">
      <x:c r="A11" t="str"/>
      <x:c r="B11" t="str"/>
      <x:c r="C11" t="str">
        <x:v>Credit</x:v>
      </x:c>
      <x:c r="D11" t="str">
        <x:v>USD</x:v>
      </x:c>
      <x:c r="E11" t="str"/>
      <x:c r="F11" t="str"/>
      <x:c r="G11" t="str"/>
      <x:c r="H11" t="str">
        <x:v>Monthly</x:v>
      </x:c>
      <x:c r="I11" t="str"/>
      <x:c r="J11" t="str">
        <x:v>No</x:v>
      </x:c>
      <x:c r="K11" t="str">
        <x:v>No</x:v>
      </x:c>
      <x:c r="L11" t="str">
        <x:v>No</x:v>
      </x:c>
      <x:c r="M11" t="str">
        <x:v>No</x:v>
      </x:c>
      <x:c r="N11" t="str"/>
      <x:c r="O11" t="str">
        <x:v>Yes</x:v>
      </x:c>
      <x:c r="P11" t="str"/>
    </x:row>
    <x:row r="12">
      <x:c r="A12" t="str"/>
      <x:c r="B12" t="str"/>
      <x:c r="C12" t="str">
        <x:v>Credit</x:v>
      </x:c>
      <x:c r="D12" t="str">
        <x:v>USD</x:v>
      </x:c>
      <x:c r="E12" t="str"/>
      <x:c r="F12" t="str"/>
      <x:c r="G12" t="str"/>
      <x:c r="H12" t="str">
        <x:v>Monthly</x:v>
      </x:c>
      <x:c r="I12" t="str"/>
      <x:c r="J12" t="str">
        <x:v>No</x:v>
      </x:c>
      <x:c r="K12" t="str">
        <x:v>No</x:v>
      </x:c>
      <x:c r="L12" t="str">
        <x:v>No</x:v>
      </x:c>
      <x:c r="M12" t="str">
        <x:v>No</x:v>
      </x:c>
      <x:c r="N12" t="str"/>
      <x:c r="O12" t="str">
        <x:v>Yes</x:v>
      </x:c>
      <x:c r="P12" t="str"/>
    </x:row>
    <x:row r="13">
      <x:c r="A13" t="str"/>
      <x:c r="B13" t="str"/>
      <x:c r="C13" t="str">
        <x:v>Credit</x:v>
      </x:c>
      <x:c r="D13" t="str">
        <x:v>USD</x:v>
      </x:c>
      <x:c r="E13" t="str"/>
      <x:c r="F13" t="str"/>
      <x:c r="G13" t="str"/>
      <x:c r="H13" t="str">
        <x:v>Monthly</x:v>
      </x:c>
      <x:c r="I13" t="str"/>
      <x:c r="J13" t="str">
        <x:v>No</x:v>
      </x:c>
      <x:c r="K13" t="str">
        <x:v>No</x:v>
      </x:c>
      <x:c r="L13" t="str">
        <x:v>No</x:v>
      </x:c>
      <x:c r="M13" t="str">
        <x:v>No</x:v>
      </x:c>
      <x:c r="N13" t="str"/>
      <x:c r="O13" t="str">
        <x:v>Yes</x:v>
      </x:c>
      <x:c r="P13" t="str"/>
    </x:row>
    <x:row r="14">
      <x:c r="A14" t="str"/>
      <x:c r="B14" t="str"/>
      <x:c r="C14" t="str">
        <x:v>Credit</x:v>
      </x:c>
      <x:c r="D14" t="str">
        <x:v>USD</x:v>
      </x:c>
      <x:c r="E14" t="str"/>
      <x:c r="F14" t="str"/>
      <x:c r="G14" t="str"/>
      <x:c r="H14" t="str">
        <x:v>Monthly</x:v>
      </x:c>
      <x:c r="I14" t="str"/>
      <x:c r="J14" t="str">
        <x:v>No</x:v>
      </x:c>
      <x:c r="K14" t="str">
        <x:v>No</x:v>
      </x:c>
      <x:c r="L14" t="str">
        <x:v>No</x:v>
      </x:c>
      <x:c r="M14" t="str">
        <x:v>No</x:v>
      </x:c>
      <x:c r="N14" t="str"/>
      <x:c r="O14" t="str">
        <x:v>Yes</x:v>
      </x:c>
      <x:c r="P14" t="str"/>
    </x:row>
    <x:row r="15">
      <x:c r="A15" t="str"/>
      <x:c r="B15" t="str"/>
      <x:c r="C15" t="str">
        <x:v>Credit</x:v>
      </x:c>
      <x:c r="D15" t="str">
        <x:v>USD</x:v>
      </x:c>
      <x:c r="E15" t="str"/>
      <x:c r="F15" t="str"/>
      <x:c r="G15" t="str"/>
      <x:c r="H15" t="str">
        <x:v>Monthly</x:v>
      </x:c>
      <x:c r="I15" t="str"/>
      <x:c r="J15" t="str">
        <x:v>No</x:v>
      </x:c>
      <x:c r="K15" t="str">
        <x:v>No</x:v>
      </x:c>
      <x:c r="L15" t="str">
        <x:v>No</x:v>
      </x:c>
      <x:c r="M15" t="str">
        <x:v>No</x:v>
      </x:c>
      <x:c r="N15" t="str"/>
      <x:c r="O15" t="str">
        <x:v>Yes</x:v>
      </x:c>
      <x:c r="P15" t="str"/>
    </x:row>
    <x:row r="16">
      <x:c r="A16" t="str"/>
      <x:c r="B16" t="str"/>
      <x:c r="C16" t="str">
        <x:v>Credit</x:v>
      </x:c>
      <x:c r="D16" t="str">
        <x:v>USD</x:v>
      </x:c>
      <x:c r="E16" t="str"/>
      <x:c r="F16" t="str"/>
      <x:c r="G16" t="str"/>
      <x:c r="H16" t="str">
        <x:v>Monthly</x:v>
      </x:c>
      <x:c r="I16" t="str"/>
      <x:c r="J16" t="str">
        <x:v>No</x:v>
      </x:c>
      <x:c r="K16" t="str">
        <x:v>No</x:v>
      </x:c>
      <x:c r="L16" t="str">
        <x:v>No</x:v>
      </x:c>
      <x:c r="M16" t="str">
        <x:v>No</x:v>
      </x:c>
      <x:c r="N16" t="str"/>
      <x:c r="O16" t="str">
        <x:v>Yes</x:v>
      </x:c>
      <x:c r="P16" t="str"/>
    </x:row>
    <x:row r="17">
      <x:c r="A17" t="str"/>
      <x:c r="B17" t="str"/>
      <x:c r="C17" t="str">
        <x:v>Credit</x:v>
      </x:c>
      <x:c r="D17" t="str">
        <x:v>USD</x:v>
      </x:c>
      <x:c r="E17" t="str"/>
      <x:c r="F17" t="str"/>
      <x:c r="G17" t="str"/>
      <x:c r="H17" t="str">
        <x:v>Monthly</x:v>
      </x:c>
      <x:c r="I17" t="str"/>
      <x:c r="J17" t="str">
        <x:v>No</x:v>
      </x:c>
      <x:c r="K17" t="str">
        <x:v>No</x:v>
      </x:c>
      <x:c r="L17" t="str">
        <x:v>No</x:v>
      </x:c>
      <x:c r="M17" t="str">
        <x:v>No</x:v>
      </x:c>
      <x:c r="N17" t="str"/>
      <x:c r="O17" t="str">
        <x:v>Yes</x:v>
      </x:c>
      <x:c r="P17" t="str"/>
    </x:row>
    <x:row r="18">
      <x:c r="A18" t="str"/>
      <x:c r="B18" t="str"/>
      <x:c r="C18" t="str">
        <x:v>Credit</x:v>
      </x:c>
      <x:c r="D18" t="str">
        <x:v>USD</x:v>
      </x:c>
      <x:c r="E18" t="str"/>
      <x:c r="F18" t="str"/>
      <x:c r="G18" t="str"/>
      <x:c r="H18" t="str">
        <x:v>Monthly</x:v>
      </x:c>
      <x:c r="I18" t="str"/>
      <x:c r="J18" t="str">
        <x:v>No</x:v>
      </x:c>
      <x:c r="K18" t="str">
        <x:v>No</x:v>
      </x:c>
      <x:c r="L18" t="str">
        <x:v>No</x:v>
      </x:c>
      <x:c r="M18" t="str">
        <x:v>No</x:v>
      </x:c>
      <x:c r="N18" t="str"/>
      <x:c r="O18" t="str">
        <x:v>Yes</x:v>
      </x:c>
      <x:c r="P18" t="str"/>
    </x:row>
    <x:row r="19">
      <x:c r="A19" t="str"/>
      <x:c r="B19" t="str"/>
      <x:c r="C19" t="str">
        <x:v>Credit</x:v>
      </x:c>
      <x:c r="D19" t="str">
        <x:v>USD</x:v>
      </x:c>
      <x:c r="E19" t="str"/>
      <x:c r="F19" t="str"/>
      <x:c r="G19" t="str"/>
      <x:c r="H19" t="str">
        <x:v>Monthly</x:v>
      </x:c>
      <x:c r="I19" t="str"/>
      <x:c r="J19" t="str">
        <x:v>No</x:v>
      </x:c>
      <x:c r="K19" t="str">
        <x:v>No</x:v>
      </x:c>
      <x:c r="L19" t="str">
        <x:v>No</x:v>
      </x:c>
      <x:c r="M19" t="str">
        <x:v>No</x:v>
      </x:c>
      <x:c r="N19" t="str"/>
      <x:c r="O19" t="str">
        <x:v>Yes</x:v>
      </x:c>
      <x:c r="P19" t="str"/>
    </x:row>
    <x:row r="20">
      <x:c r="A20" t="str"/>
      <x:c r="B20" t="str"/>
      <x:c r="C20" t="str">
        <x:v>Credit</x:v>
      </x:c>
      <x:c r="D20" t="str">
        <x:v>USD</x:v>
      </x:c>
      <x:c r="E20" t="str"/>
      <x:c r="F20" t="str"/>
      <x:c r="G20" t="str"/>
      <x:c r="H20" t="str">
        <x:v>Monthly</x:v>
      </x:c>
      <x:c r="I20" t="str"/>
      <x:c r="J20" t="str">
        <x:v>No</x:v>
      </x:c>
      <x:c r="K20" t="str">
        <x:v>No</x:v>
      </x:c>
      <x:c r="L20" t="str">
        <x:v>No</x:v>
      </x:c>
      <x:c r="M20" t="str">
        <x:v>No</x:v>
      </x:c>
      <x:c r="N20" t="str"/>
      <x:c r="O20" t="str">
        <x:v>Yes</x:v>
      </x:c>
      <x:c r="P20" t="str"/>
    </x:row>
    <x:row r="21">
      <x:c r="A21" t="str"/>
      <x:c r="B21" t="str"/>
      <x:c r="C21" t="str">
        <x:v>Credit</x:v>
      </x:c>
      <x:c r="D21" t="str">
        <x:v>USD</x:v>
      </x:c>
      <x:c r="E21" t="str"/>
      <x:c r="F21" t="str"/>
      <x:c r="G21" t="str"/>
      <x:c r="H21" t="str">
        <x:v>Monthly</x:v>
      </x:c>
      <x:c r="I21" t="str"/>
      <x:c r="J21" t="str">
        <x:v>No</x:v>
      </x:c>
      <x:c r="K21" t="str">
        <x:v>No</x:v>
      </x:c>
      <x:c r="L21" t="str">
        <x:v>No</x:v>
      </x:c>
      <x:c r="M21" t="str">
        <x:v>No</x:v>
      </x:c>
      <x:c r="N21" t="str"/>
      <x:c r="O21" t="str">
        <x:v>Yes</x:v>
      </x:c>
      <x:c r="P21" t="str"/>
    </x:row>
    <x:row r="22">
      <x:c r="A22" t="str"/>
      <x:c r="B22" t="str"/>
      <x:c r="C22" t="str">
        <x:v>Credit</x:v>
      </x:c>
      <x:c r="D22" t="str">
        <x:v>USD</x:v>
      </x:c>
      <x:c r="E22" t="str"/>
      <x:c r="F22" t="str"/>
      <x:c r="G22" t="str"/>
      <x:c r="H22" t="str">
        <x:v>Monthly</x:v>
      </x:c>
      <x:c r="I22" t="str"/>
      <x:c r="J22" t="str">
        <x:v>No</x:v>
      </x:c>
      <x:c r="K22" t="str">
        <x:v>No</x:v>
      </x:c>
      <x:c r="L22" t="str">
        <x:v>No</x:v>
      </x:c>
      <x:c r="M22" t="str">
        <x:v>No</x:v>
      </x:c>
      <x:c r="N22" t="str"/>
      <x:c r="O22" t="str">
        <x:v>Yes</x:v>
      </x:c>
      <x:c r="P22" t="str"/>
    </x:row>
    <x:row r="23">
      <x:c r="A23" t="str"/>
      <x:c r="B23" t="str"/>
      <x:c r="C23" t="str">
        <x:v>Credit</x:v>
      </x:c>
      <x:c r="D23" t="str">
        <x:v>USD</x:v>
      </x:c>
      <x:c r="E23" t="str"/>
      <x:c r="F23" t="str"/>
      <x:c r="G23" t="str"/>
      <x:c r="H23" t="str">
        <x:v>Monthly</x:v>
      </x:c>
      <x:c r="I23" t="str"/>
      <x:c r="J23" t="str">
        <x:v>No</x:v>
      </x:c>
      <x:c r="K23" t="str">
        <x:v>No</x:v>
      </x:c>
      <x:c r="L23" t="str">
        <x:v>No</x:v>
      </x:c>
      <x:c r="M23" t="str">
        <x:v>No</x:v>
      </x:c>
      <x:c r="N23" t="str"/>
      <x:c r="O23" t="str">
        <x:v>Yes</x:v>
      </x:c>
      <x:c r="P23" t="str"/>
    </x:row>
    <x:row r="24">
      <x:c r="A24" t="str"/>
      <x:c r="B24" t="str"/>
      <x:c r="C24" t="str">
        <x:v>Credit</x:v>
      </x:c>
      <x:c r="D24" t="str">
        <x:v>USD</x:v>
      </x:c>
      <x:c r="E24" t="str"/>
      <x:c r="F24" t="str"/>
      <x:c r="G24" t="str"/>
      <x:c r="H24" t="str">
        <x:v>Monthly</x:v>
      </x:c>
      <x:c r="I24" t="str"/>
      <x:c r="J24" t="str">
        <x:v>No</x:v>
      </x:c>
      <x:c r="K24" t="str">
        <x:v>No</x:v>
      </x:c>
      <x:c r="L24" t="str">
        <x:v>No</x:v>
      </x:c>
      <x:c r="M24" t="str">
        <x:v>No</x:v>
      </x:c>
      <x:c r="N24" t="str"/>
      <x:c r="O24" t="str">
        <x:v>Yes</x:v>
      </x:c>
      <x:c r="P24" t="str"/>
    </x:row>
    <x:row r="25">
      <x:c r="A25" t="str"/>
      <x:c r="B25" t="str"/>
      <x:c r="C25" t="str">
        <x:v>Credit</x:v>
      </x:c>
      <x:c r="D25" t="str">
        <x:v>USD</x:v>
      </x:c>
      <x:c r="E25" t="str"/>
      <x:c r="F25" t="str"/>
      <x:c r="G25" t="str"/>
      <x:c r="H25" t="str">
        <x:v>Monthly</x:v>
      </x:c>
      <x:c r="I25" t="str"/>
      <x:c r="J25" t="str">
        <x:v>No</x:v>
      </x:c>
      <x:c r="K25" t="str">
        <x:v>No</x:v>
      </x:c>
      <x:c r="L25" t="str">
        <x:v>No</x:v>
      </x:c>
      <x:c r="M25" t="str">
        <x:v>No</x:v>
      </x:c>
      <x:c r="N25" t="str"/>
      <x:c r="O25" t="str">
        <x:v>Yes</x:v>
      </x:c>
      <x:c r="P25" t="str"/>
    </x:row>
    <x:row r="26">
      <x:c r="A26" t="str"/>
      <x:c r="B26" t="str"/>
      <x:c r="C26" t="str">
        <x:v>Credit</x:v>
      </x:c>
      <x:c r="D26" t="str">
        <x:v>USD</x:v>
      </x:c>
      <x:c r="E26" t="str"/>
      <x:c r="F26" t="str"/>
      <x:c r="G26" t="str"/>
      <x:c r="H26" t="str">
        <x:v>Monthly</x:v>
      </x:c>
      <x:c r="I26" t="str"/>
      <x:c r="J26" t="str">
        <x:v>No</x:v>
      </x:c>
      <x:c r="K26" t="str">
        <x:v>No</x:v>
      </x:c>
      <x:c r="L26" t="str">
        <x:v>No</x:v>
      </x:c>
      <x:c r="M26" t="str">
        <x:v>No</x:v>
      </x:c>
      <x:c r="N26" t="str"/>
      <x:c r="O26" t="str">
        <x:v>Yes</x:v>
      </x:c>
      <x:c r="P26" t="str"/>
    </x:row>
    <x:row r="27">
      <x:c r="A27" t="str"/>
      <x:c r="B27" t="str"/>
      <x:c r="C27" t="str">
        <x:v>Credit</x:v>
      </x:c>
      <x:c r="D27" t="str">
        <x:v>USD</x:v>
      </x:c>
      <x:c r="E27" t="str"/>
      <x:c r="F27" t="str"/>
      <x:c r="G27" t="str"/>
      <x:c r="H27" t="str">
        <x:v>Monthly</x:v>
      </x:c>
      <x:c r="I27" t="str"/>
      <x:c r="J27" t="str">
        <x:v>No</x:v>
      </x:c>
      <x:c r="K27" t="str">
        <x:v>No</x:v>
      </x:c>
      <x:c r="L27" t="str">
        <x:v>No</x:v>
      </x:c>
      <x:c r="M27" t="str">
        <x:v>No</x:v>
      </x:c>
      <x:c r="N27" t="str"/>
      <x:c r="O27" t="str">
        <x:v>Yes</x:v>
      </x:c>
      <x:c r="P27" t="str"/>
    </x:row>
    <x:row r="28">
      <x:c r="A28" t="str"/>
      <x:c r="B28" t="str"/>
      <x:c r="C28" t="str">
        <x:v>Credit</x:v>
      </x:c>
      <x:c r="D28" t="str">
        <x:v>USD</x:v>
      </x:c>
      <x:c r="E28" t="str"/>
      <x:c r="F28" t="str"/>
      <x:c r="G28" t="str"/>
      <x:c r="H28" t="str">
        <x:v>Monthly</x:v>
      </x:c>
      <x:c r="I28" t="str"/>
      <x:c r="J28" t="str">
        <x:v>No</x:v>
      </x:c>
      <x:c r="K28" t="str">
        <x:v>No</x:v>
      </x:c>
      <x:c r="L28" t="str">
        <x:v>No</x:v>
      </x:c>
      <x:c r="M28" t="str">
        <x:v>No</x:v>
      </x:c>
      <x:c r="N28" t="str"/>
      <x:c r="O28" t="str">
        <x:v>Yes</x:v>
      </x:c>
      <x:c r="P28" t="str"/>
    </x:row>
    <x:row r="29">
      <x:c r="A29" t="str"/>
      <x:c r="B29" t="str"/>
      <x:c r="C29" t="str">
        <x:v>Credit</x:v>
      </x:c>
      <x:c r="D29" t="str">
        <x:v>USD</x:v>
      </x:c>
      <x:c r="E29" t="str"/>
      <x:c r="F29" t="str"/>
      <x:c r="G29" t="str"/>
      <x:c r="H29" t="str">
        <x:v>Monthly</x:v>
      </x:c>
      <x:c r="I29" t="str"/>
      <x:c r="J29" t="str">
        <x:v>No</x:v>
      </x:c>
      <x:c r="K29" t="str">
        <x:v>No</x:v>
      </x:c>
      <x:c r="L29" t="str">
        <x:v>No</x:v>
      </x:c>
      <x:c r="M29" t="str">
        <x:v>No</x:v>
      </x:c>
      <x:c r="N29" t="str"/>
      <x:c r="O29" t="str">
        <x:v>Yes</x:v>
      </x:c>
      <x:c r="P29" t="str"/>
    </x:row>
    <x:row r="30">
      <x:c r="A30" t="str"/>
      <x:c r="B30" t="str"/>
      <x:c r="C30" t="str">
        <x:v>Credit</x:v>
      </x:c>
      <x:c r="D30" t="str">
        <x:v>USD</x:v>
      </x:c>
      <x:c r="E30" t="str"/>
      <x:c r="F30" t="str"/>
      <x:c r="G30" t="str"/>
      <x:c r="H30" t="str">
        <x:v>Monthly</x:v>
      </x:c>
      <x:c r="I30" t="str"/>
      <x:c r="J30" t="str">
        <x:v>No</x:v>
      </x:c>
      <x:c r="K30" t="str">
        <x:v>No</x:v>
      </x:c>
      <x:c r="L30" t="str">
        <x:v>No</x:v>
      </x:c>
      <x:c r="M30" t="str">
        <x:v>No</x:v>
      </x:c>
      <x:c r="N30" t="str"/>
      <x:c r="O30" t="str">
        <x:v>Yes</x:v>
      </x:c>
      <x:c r="P30" t="str"/>
    </x:row>
    <x:row r="31">
      <x:c r="A31" t="str"/>
      <x:c r="B31" t="str"/>
      <x:c r="C31" t="str">
        <x:v>Credit</x:v>
      </x:c>
      <x:c r="D31" t="str">
        <x:v>USD</x:v>
      </x:c>
      <x:c r="E31" t="str"/>
      <x:c r="F31" t="str"/>
      <x:c r="G31" t="str"/>
      <x:c r="H31" t="str">
        <x:v>Monthly</x:v>
      </x:c>
      <x:c r="I31" t="str"/>
      <x:c r="J31" t="str">
        <x:v>No</x:v>
      </x:c>
      <x:c r="K31" t="str">
        <x:v>No</x:v>
      </x:c>
      <x:c r="L31" t="str">
        <x:v>No</x:v>
      </x:c>
      <x:c r="M31" t="str">
        <x:v>No</x:v>
      </x:c>
      <x:c r="N31" t="str"/>
      <x:c r="O31" t="str">
        <x:v>Yes</x:v>
      </x:c>
      <x:c r="P31" t="str"/>
    </x:row>
    <x:row r="32">
      <x:c r="A32" t="str"/>
      <x:c r="B32" t="str"/>
      <x:c r="C32" t="str">
        <x:v>Credit</x:v>
      </x:c>
      <x:c r="D32" t="str">
        <x:v>USD</x:v>
      </x:c>
      <x:c r="E32" t="str"/>
      <x:c r="F32" t="str"/>
      <x:c r="G32" t="str"/>
      <x:c r="H32" t="str">
        <x:v>Monthly</x:v>
      </x:c>
      <x:c r="I32" t="str"/>
      <x:c r="J32" t="str">
        <x:v>No</x:v>
      </x:c>
      <x:c r="K32" t="str">
        <x:v>No</x:v>
      </x:c>
      <x:c r="L32" t="str">
        <x:v>No</x:v>
      </x:c>
      <x:c r="M32" t="str">
        <x:v>No</x:v>
      </x:c>
      <x:c r="N32" t="str"/>
      <x:c r="O32" t="str">
        <x:v>Yes</x:v>
      </x:c>
      <x:c r="P32" t="str"/>
    </x:row>
    <x:row r="33">
      <x:c r="A33" t="str"/>
      <x:c r="B33" t="str"/>
      <x:c r="C33" t="str">
        <x:v>Credit</x:v>
      </x:c>
      <x:c r="D33" t="str">
        <x:v>USD</x:v>
      </x:c>
      <x:c r="E33" t="str"/>
      <x:c r="F33" t="str"/>
      <x:c r="G33" t="str"/>
      <x:c r="H33" t="str">
        <x:v>Monthly</x:v>
      </x:c>
      <x:c r="I33" t="str"/>
      <x:c r="J33" t="str">
        <x:v>No</x:v>
      </x:c>
      <x:c r="K33" t="str">
        <x:v>No</x:v>
      </x:c>
      <x:c r="L33" t="str">
        <x:v>No</x:v>
      </x:c>
      <x:c r="M33" t="str">
        <x:v>No</x:v>
      </x:c>
      <x:c r="N33" t="str"/>
      <x:c r="O33" t="str">
        <x:v>Yes</x:v>
      </x:c>
      <x:c r="P33" t="str"/>
    </x:row>
    <x:row r="34">
      <x:c r="A34" t="str"/>
      <x:c r="B34" t="str"/>
      <x:c r="C34" t="str">
        <x:v>Credit</x:v>
      </x:c>
      <x:c r="D34" t="str">
        <x:v>USD</x:v>
      </x:c>
      <x:c r="E34" t="str"/>
      <x:c r="F34" t="str"/>
      <x:c r="G34" t="str"/>
      <x:c r="H34" t="str">
        <x:v>Monthly</x:v>
      </x:c>
      <x:c r="I34" t="str"/>
      <x:c r="J34" t="str">
        <x:v>No</x:v>
      </x:c>
      <x:c r="K34" t="str">
        <x:v>No</x:v>
      </x:c>
      <x:c r="L34" t="str">
        <x:v>No</x:v>
      </x:c>
      <x:c r="M34" t="str">
        <x:v>No</x:v>
      </x:c>
      <x:c r="N34" t="str"/>
      <x:c r="O34" t="str">
        <x:v>Yes</x:v>
      </x:c>
      <x:c r="P34" t="str"/>
    </x:row>
    <x:row r="35">
      <x:c r="A35" t="str"/>
      <x:c r="B35" t="str"/>
      <x:c r="C35" t="str">
        <x:v>Credit</x:v>
      </x:c>
      <x:c r="D35" t="str">
        <x:v>USD</x:v>
      </x:c>
      <x:c r="E35" t="str"/>
      <x:c r="F35" t="str"/>
      <x:c r="G35" t="str"/>
      <x:c r="H35" t="str">
        <x:v>Monthly</x:v>
      </x:c>
      <x:c r="I35" t="str"/>
      <x:c r="J35" t="str">
        <x:v>No</x:v>
      </x:c>
      <x:c r="K35" t="str">
        <x:v>No</x:v>
      </x:c>
      <x:c r="L35" t="str">
        <x:v>No</x:v>
      </x:c>
      <x:c r="M35" t="str">
        <x:v>No</x:v>
      </x:c>
      <x:c r="N35" t="str"/>
      <x:c r="O35" t="str">
        <x:v>Yes</x:v>
      </x:c>
      <x:c r="P35" t="str"/>
    </x:row>
  </x:sheetData>
  <x:mergeCells>
    <x:mergeCell ref="A1:P1"/>
    <x:mergeCell ref="A2:P2"/>
  </x:mergeCells>
  <x:dataValidations count="7">
    <x:dataValidation type="list" sqref="C5:C35">
      <x:formula1>"Credit,Prepaid Value,Prepaid Litres,Benefit"</x:formula1>
    </x:dataValidation>
    <x:dataValidation type="list" sqref="H5:H35">
      <x:formula1>"Immediate,Daily,Weekly,Monthly,N/A"</x:formula1>
    </x:dataValidation>
    <x:dataValidation type="list" sqref="J5:J35">
      <x:formula1>"Yes,No"</x:formula1>
    </x:dataValidation>
    <x:dataValidation type="list" sqref="K5:K35">
      <x:formula1>"Yes,No"</x:formula1>
    </x:dataValidation>
    <x:dataValidation type="list" sqref="L5:L35">
      <x:formula1>"Yes,No"</x:formula1>
    </x:dataValidation>
    <x:dataValidation type="list" sqref="M5:M35">
      <x:formula1>"Yes,No"</x:formula1>
    </x:dataValidation>
    <x:dataValidation type="list" sqref="O5:O3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1aa89ab102412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6" hidden="0" customWidth="1"/>
    <x:col min="5" max="5" width="16" hidden="0" customWidth="1"/>
    <x:col min="6" max="6" width="28" hidden="0" customWidth="1"/>
    <x:col min="7" max="7" width="32" hidden="0" customWidth="1"/>
    <x:col min="8" max="8" width="14" hidden="0" customWidth="1"/>
    <x:col min="9" max="9" width="24" hidden="0" customWidth="1"/>
    <x:col min="10" max="10" width="14" hidden="0" customWidth="1"/>
    <x:col min="11" max="11" width="16" hidden="0" customWidth="1"/>
    <x:col min="12" max="12" width="30" hidden="0" customWidth="1"/>
  </x:cols>
  <x:sheetData>
    <x:row r="1" ht="28" customHeight="1">
      <x:c r="A1" s="4" t="str">
        <x:v>Approval Policy Defaults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Recommended pilot defaults. They are configuration, not code, and can be tuned after observing TEI's real operating volumes and risk profile.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6" t="str">
        <x:v>Domain</x:v>
      </x:c>
      <x:c r="B4" s="16" t="str">
        <x:v>Action</x:v>
      </x:c>
      <x:c r="C4" s="16" t="str">
        <x:v>Prepared / Requested By</x:v>
      </x:c>
      <x:c r="D4" s="16" t="str">
        <x:v>Default Approver</x:v>
      </x:c>
      <x:c r="E4" s="16" t="str">
        <x:v>Always Approval?</x:v>
      </x:c>
      <x:c r="F4" s="16" t="str">
        <x:v>Step-Up Trigger</x:v>
      </x:c>
      <x:c r="G4" s="16" t="str">
        <x:v>Second Approver Trigger</x:v>
      </x:c>
      <x:c r="H4" s="16" t="str">
        <x:v>Self Approval?</x:v>
      </x:c>
      <x:c r="I4" s="16" t="str">
        <x:v>Evidence Required?</x:v>
      </x:c>
      <x:c r="J4" s="16" t="str">
        <x:v>Effective From</x:v>
      </x:c>
      <x:c r="K4" s="16" t="str">
        <x:v>Pilot Status</x:v>
      </x:c>
      <x:c r="L4" s="16" t="str">
        <x:v>Notes</x:v>
      </x:c>
    </x:row>
    <x:row r="5">
      <x:c r="A5" t="str">
        <x:v>Reconciliation</x:v>
      </x:c>
      <x:c r="B5" t="str">
        <x:v>Approve daily reconciliation</x:v>
      </x:c>
      <x:c r="C5" t="str">
        <x:v>Supervisor</x:v>
      </x:c>
      <x:c r="D5" t="str">
        <x:v>Owner / authorized management</x:v>
      </x:c>
      <x:c r="E5" t="str">
        <x:v>Yes</x:v>
      </x:c>
      <x:c r="F5" t="str">
        <x:v>Any unresolved high-severity exception</x:v>
      </x:c>
      <x:c r="G5" t="str">
        <x:v>Not by default</x:v>
      </x:c>
      <x:c r="H5" t="str">
        <x:v>No</x:v>
      </x:c>
      <x:c r="I5" t="str">
        <x:v>Evidence for exceptions</x:v>
      </x:c>
      <x:c r="J5" t="str"/>
      <x:c r="K5" t="str">
        <x:v>Use default</x:v>
      </x:c>
      <x:c r="L5" t="str"/>
    </x:row>
    <x:row r="6">
      <x:c r="A6" t="str">
        <x:v>Supplier Payment</x:v>
      </x:c>
      <x:c r="B6" t="str">
        <x:v>Post supplier payment</x:v>
      </x:c>
      <x:c r="C6" t="str">
        <x:v>Finance</x:v>
      </x:c>
      <x:c r="D6" t="str">
        <x:v>Owner / authorized management</x:v>
      </x:c>
      <x:c r="E6" t="str">
        <x:v>Yes</x:v>
      </x:c>
      <x:c r="F6" t="str">
        <x:v>&gt;= USD 5,000</x:v>
      </x:c>
      <x:c r="G6" t="str">
        <x:v>&gt;= USD 20,000 where second approver exists</x:v>
      </x:c>
      <x:c r="H6" t="str">
        <x:v>No</x:v>
      </x:c>
      <x:c r="I6" t="str">
        <x:v>Proof of payment</x:v>
      </x:c>
      <x:c r="J6" t="str"/>
      <x:c r="K6" t="str">
        <x:v>Pilot default</x:v>
      </x:c>
      <x:c r="L6" t="str">
        <x:v>Thresholds provisional</x:v>
      </x:c>
    </x:row>
    <x:row r="7">
      <x:c r="A7" t="str">
        <x:v>Expense</x:v>
      </x:c>
      <x:c r="B7" t="str">
        <x:v>Approve station expense</x:v>
      </x:c>
      <x:c r="C7" t="str">
        <x:v>Supervisor</x:v>
      </x:c>
      <x:c r="D7" t="str">
        <x:v>Finance / Owner</x:v>
      </x:c>
      <x:c r="E7" t="str">
        <x:v>Policy-based</x:v>
      </x:c>
      <x:c r="F7" t="str">
        <x:v>&gt;= USD 250</x:v>
      </x:c>
      <x:c r="G7" t="str">
        <x:v>&gt;= USD 1,000</x:v>
      </x:c>
      <x:c r="H7" t="str">
        <x:v>No</x:v>
      </x:c>
      <x:c r="I7" t="str">
        <x:v>Receipt from USD 20; configurable</x:v>
      </x:c>
      <x:c r="J7" t="str"/>
      <x:c r="K7" t="str">
        <x:v>Pilot default</x:v>
      </x:c>
      <x:c r="L7" t="str">
        <x:v>Tune by category</x:v>
      </x:c>
    </x:row>
    <x:row r="8">
      <x:c r="A8" t="str">
        <x:v>Inventory</x:v>
      </x:c>
      <x:c r="B8" t="str">
        <x:v>Approve stock adjustment</x:v>
      </x:c>
      <x:c r="C8" t="str">
        <x:v>Supervisor / Finance</x:v>
      </x:c>
      <x:c r="D8" t="str">
        <x:v>Owner / authorized management</x:v>
      </x:c>
      <x:c r="E8" t="str">
        <x:v>Yes</x:v>
      </x:c>
      <x:c r="F8" t="str">
        <x:v>&gt;= 20 L or USD 50 equivalent</x:v>
      </x:c>
      <x:c r="G8" t="str">
        <x:v>&gt;= 100 L</x:v>
      </x:c>
      <x:c r="H8" t="str">
        <x:v>No</x:v>
      </x:c>
      <x:c r="I8" t="str">
        <x:v>Yes for material adjustments</x:v>
      </x:c>
      <x:c r="J8" t="str"/>
      <x:c r="K8" t="str">
        <x:v>Pilot default</x:v>
      </x:c>
      <x:c r="L8" t="str"/>
    </x:row>
    <x:row r="9">
      <x:c r="A9" t="str">
        <x:v>Customer Credit</x:v>
      </x:c>
      <x:c r="B9" t="str">
        <x:v>Override credit limit</x:v>
      </x:c>
      <x:c r="C9" t="str">
        <x:v>Supervisor / Finance</x:v>
      </x:c>
      <x:c r="D9" t="str">
        <x:v>Owner / authorized management</x:v>
      </x:c>
      <x:c r="E9" t="str">
        <x:v>Yes</x:v>
      </x:c>
      <x:c r="F9" t="str">
        <x:v>Always</x:v>
      </x:c>
      <x:c r="G9" t="str">
        <x:v>&gt;= USD 5,000 additional exposure</x:v>
      </x:c>
      <x:c r="H9" t="str">
        <x:v>No</x:v>
      </x:c>
      <x:c r="I9" t="str">
        <x:v>Reason required</x:v>
      </x:c>
      <x:c r="J9" t="str"/>
      <x:c r="K9" t="str">
        <x:v>Pilot default</x:v>
      </x:c>
      <x:c r="L9" t="str"/>
    </x:row>
    <x:row r="10">
      <x:c r="A10" t="str">
        <x:v>Pricing</x:v>
      </x:c>
      <x:c r="B10" t="str">
        <x:v>Change selling price</x:v>
      </x:c>
      <x:c r="C10" t="str">
        <x:v>Authorized management</x:v>
      </x:c>
      <x:c r="D10" t="str">
        <x:v>Owner / pricing authority</x:v>
      </x:c>
      <x:c r="E10" t="str">
        <x:v>Yes</x:v>
      </x:c>
      <x:c r="F10" t="str">
        <x:v>Active-shift change</x:v>
      </x:c>
      <x:c r="G10" t="str">
        <x:v>Not by default</x:v>
      </x:c>
      <x:c r="H10" t="str">
        <x:v>No</x:v>
      </x:c>
      <x:c r="I10" t="str">
        <x:v>Boundary evidence</x:v>
      </x:c>
      <x:c r="J10" t="str"/>
      <x:c r="K10" t="str">
        <x:v>Use default</x:v>
      </x:c>
      <x:c r="L10" t="str"/>
    </x:row>
    <x:row r="11">
      <x:c r="A11" t="str">
        <x:v>Banking</x:v>
      </x:c>
      <x:c r="B11" t="str">
        <x:v>Change bank account details</x:v>
      </x:c>
      <x:c r="C11" t="str">
        <x:v>Finance / Admin</x:v>
      </x:c>
      <x:c r="D11" t="str">
        <x:v>Owner</x:v>
      </x:c>
      <x:c r="E11" t="str">
        <x:v>Yes</x:v>
      </x:c>
      <x:c r="F11" t="str">
        <x:v>Always</x:v>
      </x:c>
      <x:c r="G11" t="str">
        <x:v>Not by default</x:v>
      </x:c>
      <x:c r="H11" t="str">
        <x:v>No</x:v>
      </x:c>
      <x:c r="I11" t="str">
        <x:v>Yes</x:v>
      </x:c>
      <x:c r="J11" t="str"/>
      <x:c r="K11" t="str">
        <x:v>Use default</x:v>
      </x:c>
      <x:c r="L11" t="str"/>
    </x:row>
    <x:row r="12">
      <x:c r="A12" t="str">
        <x:v>Corrections</x:v>
      </x:c>
      <x:c r="B12" t="str">
        <x:v>Reverse posted transaction</x:v>
      </x:c>
      <x:c r="C12" t="str">
        <x:v>Owning module user</x:v>
      </x:c>
      <x:c r="D12" t="str">
        <x:v>Owner / authorized management</x:v>
      </x:c>
      <x:c r="E12" t="str">
        <x:v>Yes</x:v>
      </x:c>
      <x:c r="F12" t="str">
        <x:v>Always</x:v>
      </x:c>
      <x:c r="G12" t="str">
        <x:v>High-value threshold by domain</x:v>
      </x:c>
      <x:c r="H12" t="str">
        <x:v>No</x:v>
      </x:c>
      <x:c r="I12" t="str">
        <x:v>Reason/evidence</x:v>
      </x:c>
      <x:c r="J12" t="str"/>
      <x:c r="K12" t="str">
        <x:v>Use default</x:v>
      </x:c>
      <x:c r="L12" t="str"/>
    </x:row>
    <x:row r="15">
      <x:c r="A15" s="24" t="str">
        <x:v>Invariant</x:v>
      </x:c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24" t="str"/>
      <x:c r="K15" s="24" t="str"/>
      <x:c r="L15" s="24" t="str"/>
    </x:row>
    <x:row r="16">
      <x:c r="A16" s="20" t="str">
        <x:v>1</x:v>
      </x:c>
      <x:c r="B16" s="20" t="str">
        <x:v>Owner is highest business authority but not a security/accounting bypass.</x:v>
      </x:c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</x:row>
    <x:row r="17">
      <x:c r="A17" s="20" t="str">
        <x:v>2</x:v>
      </x:c>
      <x:c r="B17" s="20" t="str">
        <x:v>Approval applies to the exact submitted record version; edits supersede old approval.</x:v>
      </x:c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/>
      <x:c r="L17" s="20" t="str"/>
    </x:row>
    <x:row r="18">
      <x:c r="A18" s="20" t="str">
        <x:v>3</x:v>
      </x:c>
      <x:c r="B18" s="20" t="str">
        <x:v>Single-Authority Mode exists only where genuinely needed and is fully audited.</x:v>
      </x:c>
      <x:c r="C18" s="20" t="str"/>
      <x:c r="D18" s="20" t="str"/>
      <x:c r="E18" s="20" t="str"/>
      <x:c r="F18" s="20" t="str"/>
      <x:c r="G18" s="20" t="str"/>
      <x:c r="H18" s="20" t="str"/>
      <x:c r="I18" s="20" t="str"/>
      <x:c r="J18" s="20" t="str"/>
      <x:c r="K18" s="20" t="str"/>
      <x:c r="L18" s="20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459d66f688e42f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28" hidden="0" customWidth="1"/>
    <x:col min="5" max="5" width="22" hidden="0" customWidth="1"/>
    <x:col min="6" max="6" width="24" hidden="0" customWidth="1"/>
    <x:col min="7" max="7" width="20" hidden="0" customWidth="1"/>
    <x:col min="8" max="8" width="18" hidden="0" customWidth="1"/>
    <x:col min="9" max="9" width="22" hidden="0" customWidth="1"/>
    <x:col min="10" max="10" width="24" hidden="0" customWidth="1"/>
    <x:col min="11" max="11" width="26" hidden="0" customWidth="1"/>
    <x:col min="12" max="12" width="14" hidden="0" customWidth="1"/>
    <x:col min="13" max="13" width="34" hidden="0" customWidth="1"/>
  </x:cols>
  <x:sheetData>
    <x:row r="1" ht="28" customHeight="1">
      <x:c r="A1" s="4" t="str">
        <x:v>Cash Control Setup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0" t="str">
        <x:v>Development can proceed without exact station floats. Float amounts become a station go-live configuration item.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>
      <x:c r="A4" s="16" t="str">
        <x:v>Station</x:v>
      </x:c>
      <x:c r="B4" s="16" t="str">
        <x:v>Currency</x:v>
      </x:c>
      <x:c r="C4" s="16" t="str">
        <x:v>Required Float</x:v>
      </x:c>
      <x:c r="D4" s="16" t="str">
        <x:v>Collector / Custodian Role</x:v>
      </x:c>
      <x:c r="E4" s="16" t="str">
        <x:v>Dual Handover Confirmation?</x:v>
      </x:c>
      <x:c r="F4" s="16" t="str">
        <x:v>Dual Confirm Threshold</x:v>
      </x:c>
      <x:c r="G4" s="16" t="str">
        <x:v>Unbanked Warning Hours</x:v>
      </x:c>
      <x:c r="H4" s="16" t="str">
        <x:v>Unbanked Urgent Hours</x:v>
      </x:c>
      <x:c r="I4" s="16" t="str">
        <x:v>Deposit Proof Required?</x:v>
      </x:c>
      <x:c r="J4" s="16" t="str">
        <x:v>Denomination Count Required?</x:v>
      </x:c>
      <x:c r="K4" s="16" t="str">
        <x:v>Shortage Resolution Approver</x:v>
      </x:c>
      <x:c r="L4" s="16" t="str">
        <x:v>Effective From</x:v>
      </x:c>
      <x:c r="M4" s="16" t="str">
        <x:v>Notes</x:v>
      </x:c>
    </x:row>
    <x:row r="5">
      <x:c r="A5" t="str">
        <x:v>Sandawana</x:v>
      </x:c>
      <x:c r="B5" t="str">
        <x:v>USD</x:v>
      </x:c>
      <x:c r="C5" t="str"/>
      <x:c r="D5" t="str">
        <x:v>Collector / authorized management</x:v>
      </x:c>
      <x:c r="E5" t="str">
        <x:v>Yes</x:v>
      </x:c>
      <x:c r="F5" t="str">
        <x:v>All significant handovers</x:v>
      </x:c>
      <x:c r="G5" t="n">
        <x:v>24</x:v>
      </x:c>
      <x:c r="H5" t="n">
        <x:v>48</x:v>
      </x:c>
      <x:c r="I5" t="str">
        <x:v>Yes</x:v>
      </x:c>
      <x:c r="J5" t="str">
        <x:v>No</x:v>
      </x:c>
      <x:c r="K5" t="str">
        <x:v>Finance / Owner</x:v>
      </x:c>
      <x:c r="L5" t="str"/>
      <x:c r="M5" t="str">
        <x:v>Float must be set before go-live</x:v>
      </x:c>
    </x:row>
    <x:row r="6">
      <x:c r="A6" t="str">
        <x:v>Hwange</x:v>
      </x:c>
      <x:c r="B6" t="str">
        <x:v>USD</x:v>
      </x:c>
      <x:c r="C6" t="str"/>
      <x:c r="D6" t="str">
        <x:v>Collector / authorized management</x:v>
      </x:c>
      <x:c r="E6" t="str">
        <x:v>Yes</x:v>
      </x:c>
      <x:c r="F6" t="str">
        <x:v>All significant handovers</x:v>
      </x:c>
      <x:c r="G6" t="n">
        <x:v>24</x:v>
      </x:c>
      <x:c r="H6" t="n">
        <x:v>48</x:v>
      </x:c>
      <x:c r="I6" t="str">
        <x:v>Yes</x:v>
      </x:c>
      <x:c r="J6" t="str">
        <x:v>No</x:v>
      </x:c>
      <x:c r="K6" t="str">
        <x:v>Finance / Owner</x:v>
      </x:c>
      <x:c r="L6" t="str"/>
      <x:c r="M6" t="str">
        <x:v>Float must be set before go-live</x:v>
      </x:c>
    </x:row>
    <x:row r="7">
      <x:c r="A7" t="str">
        <x:v>Bindura</x:v>
      </x:c>
      <x:c r="B7" t="str">
        <x:v>USD</x:v>
      </x:c>
      <x:c r="C7" t="str"/>
      <x:c r="D7" t="str">
        <x:v>Collector / authorized management</x:v>
      </x:c>
      <x:c r="E7" t="str">
        <x:v>Yes</x:v>
      </x:c>
      <x:c r="F7" t="str">
        <x:v>All significant handovers</x:v>
      </x:c>
      <x:c r="G7" t="n">
        <x:v>24</x:v>
      </x:c>
      <x:c r="H7" t="n">
        <x:v>48</x:v>
      </x:c>
      <x:c r="I7" t="str">
        <x:v>Yes</x:v>
      </x:c>
      <x:c r="J7" t="str">
        <x:v>No</x:v>
      </x:c>
      <x:c r="K7" t="str">
        <x:v>Finance / Owner</x:v>
      </x:c>
      <x:c r="L7" t="str"/>
      <x:c r="M7" t="str">
        <x:v>Float must be set before go-live</x:v>
      </x:c>
    </x:row>
    <x:row r="8">
      <x:c r="A8" t="str">
        <x:v>Makaha</x:v>
      </x:c>
      <x:c r="B8" t="str">
        <x:v>USD</x:v>
      </x:c>
      <x:c r="C8" t="str"/>
      <x:c r="D8" t="str">
        <x:v>Collector / authorized management</x:v>
      </x:c>
      <x:c r="E8" t="str">
        <x:v>Yes</x:v>
      </x:c>
      <x:c r="F8" t="str">
        <x:v>All significant handovers</x:v>
      </x:c>
      <x:c r="G8" t="n">
        <x:v>24</x:v>
      </x:c>
      <x:c r="H8" t="n">
        <x:v>48</x:v>
      </x:c>
      <x:c r="I8" t="str">
        <x:v>Yes</x:v>
      </x:c>
      <x:c r="J8" t="str">
        <x:v>No</x:v>
      </x:c>
      <x:c r="K8" t="str">
        <x:v>Finance / Owner</x:v>
      </x:c>
      <x:c r="L8" t="str"/>
      <x:c r="M8" t="str">
        <x:v>Float must be set before go-live</x:v>
      </x:c>
    </x:row>
    <x:row r="9">
      <x:c r="A9" t="str">
        <x:v>Kwekwe</x:v>
      </x:c>
      <x:c r="B9" t="str">
        <x:v>USD</x:v>
      </x:c>
      <x:c r="C9" t="str"/>
      <x:c r="D9" t="str">
        <x:v>Collector / authorized management</x:v>
      </x:c>
      <x:c r="E9" t="str">
        <x:v>Yes</x:v>
      </x:c>
      <x:c r="F9" t="str">
        <x:v>All significant handovers</x:v>
      </x:c>
      <x:c r="G9" t="n">
        <x:v>24</x:v>
      </x:c>
      <x:c r="H9" t="n">
        <x:v>48</x:v>
      </x:c>
      <x:c r="I9" t="str">
        <x:v>Yes</x:v>
      </x:c>
      <x:c r="J9" t="str">
        <x:v>No</x:v>
      </x:c>
      <x:c r="K9" t="str">
        <x:v>Finance / Owner</x:v>
      </x:c>
      <x:c r="L9" t="str"/>
      <x:c r="M9" t="str">
        <x:v>Float must be set before go-live</x:v>
      </x:c>
    </x:row>
    <x:row r="10">
      <x:c r="A10" t="str">
        <x:v>Kadoma</x:v>
      </x:c>
      <x:c r="B10" t="str">
        <x:v>USD</x:v>
      </x:c>
      <x:c r="C10" t="str"/>
      <x:c r="D10" t="str">
        <x:v>Collector / authorized management</x:v>
      </x:c>
      <x:c r="E10" t="str">
        <x:v>Yes</x:v>
      </x:c>
      <x:c r="F10" t="str">
        <x:v>All significant handovers</x:v>
      </x:c>
      <x:c r="G10" t="n">
        <x:v>24</x:v>
      </x:c>
      <x:c r="H10" t="n">
        <x:v>48</x:v>
      </x:c>
      <x:c r="I10" t="str">
        <x:v>Yes</x:v>
      </x:c>
      <x:c r="J10" t="str">
        <x:v>No</x:v>
      </x:c>
      <x:c r="K10" t="str">
        <x:v>Finance / Owner</x:v>
      </x:c>
      <x:c r="L10" t="str"/>
      <x:c r="M10" t="str">
        <x:v>Float must be set before go-live</x:v>
      </x:c>
    </x:row>
    <x:row r="11">
      <x:c r="A11" t="str">
        <x:v>Gweru</x:v>
      </x:c>
      <x:c r="B11" t="str">
        <x:v>USD</x:v>
      </x:c>
      <x:c r="C11" t="str"/>
      <x:c r="D11" t="str">
        <x:v>Collector / authorized management</x:v>
      </x:c>
      <x:c r="E11" t="str">
        <x:v>Yes</x:v>
      </x:c>
      <x:c r="F11" t="str">
        <x:v>All significant handovers</x:v>
      </x:c>
      <x:c r="G11" t="n">
        <x:v>24</x:v>
      </x:c>
      <x:c r="H11" t="n">
        <x:v>48</x:v>
      </x:c>
      <x:c r="I11" t="str">
        <x:v>Yes</x:v>
      </x:c>
      <x:c r="J11" t="str">
        <x:v>No</x:v>
      </x:c>
      <x:c r="K11" t="str">
        <x:v>Finance / Owner</x:v>
      </x:c>
      <x:c r="L11" t="str"/>
      <x:c r="M11" t="str">
        <x:v>Float must be set before go-live</x:v>
      </x:c>
    </x:row>
    <x:row r="12">
      <x:c r="A12" t="str">
        <x:v>Harare</x:v>
      </x:c>
      <x:c r="B12" t="str">
        <x:v>USD</x:v>
      </x:c>
      <x:c r="C12" t="str"/>
      <x:c r="D12" t="str">
        <x:v>Collector / authorized management</x:v>
      </x:c>
      <x:c r="E12" t="str">
        <x:v>Yes</x:v>
      </x:c>
      <x:c r="F12" t="str">
        <x:v>All significant handovers</x:v>
      </x:c>
      <x:c r="G12" t="n">
        <x:v>24</x:v>
      </x:c>
      <x:c r="H12" t="n">
        <x:v>48</x:v>
      </x:c>
      <x:c r="I12" t="str">
        <x:v>Yes</x:v>
      </x:c>
      <x:c r="J12" t="str">
        <x:v>No</x:v>
      </x:c>
      <x:c r="K12" t="str">
        <x:v>Finance / Owner</x:v>
      </x:c>
      <x:c r="L12" t="str"/>
      <x:c r="M12" t="str">
        <x:v>Float must be set before go-live</x:v>
      </x:c>
    </x:row>
    <x:row r="13">
      <x:c r="A13" t="str">
        <x:v>Mutare</x:v>
      </x:c>
      <x:c r="B13" t="str">
        <x:v>USD</x:v>
      </x:c>
      <x:c r="C13" t="str"/>
      <x:c r="D13" t="str">
        <x:v>Collector / authorized management</x:v>
      </x:c>
      <x:c r="E13" t="str">
        <x:v>Yes</x:v>
      </x:c>
      <x:c r="F13" t="str">
        <x:v>All significant handovers</x:v>
      </x:c>
      <x:c r="G13" t="n">
        <x:v>24</x:v>
      </x:c>
      <x:c r="H13" t="n">
        <x:v>48</x:v>
      </x:c>
      <x:c r="I13" t="str">
        <x:v>Yes</x:v>
      </x:c>
      <x:c r="J13" t="str">
        <x:v>No</x:v>
      </x:c>
      <x:c r="K13" t="str">
        <x:v>Finance / Owner</x:v>
      </x:c>
      <x:c r="L13" t="str"/>
      <x:c r="M13" t="str">
        <x:v>Float must be set before go-live</x:v>
      </x:c>
    </x:row>
    <x:row r="14">
      <x:c r="A14" t="str">
        <x:v>Masvingo</x:v>
      </x:c>
      <x:c r="B14" t="str">
        <x:v>USD</x:v>
      </x:c>
      <x:c r="C14" t="str"/>
      <x:c r="D14" t="str">
        <x:v>Collector / authorized management</x:v>
      </x:c>
      <x:c r="E14" t="str">
        <x:v>Yes</x:v>
      </x:c>
      <x:c r="F14" t="str">
        <x:v>All significant handovers</x:v>
      </x:c>
      <x:c r="G14" t="n">
        <x:v>24</x:v>
      </x:c>
      <x:c r="H14" t="n">
        <x:v>48</x:v>
      </x:c>
      <x:c r="I14" t="str">
        <x:v>Yes</x:v>
      </x:c>
      <x:c r="J14" t="str">
        <x:v>No</x:v>
      </x:c>
      <x:c r="K14" t="str">
        <x:v>Finance / Owner</x:v>
      </x:c>
      <x:c r="L14" t="str"/>
      <x:c r="M14" t="str">
        <x:v>Float must be set before go-live</x:v>
      </x:c>
    </x:row>
    <x:row r="15">
      <x:c r="A15" t="str">
        <x:v>Bulawayo</x:v>
      </x:c>
      <x:c r="B15" t="str">
        <x:v>USD</x:v>
      </x:c>
      <x:c r="C15" t="str"/>
      <x:c r="D15" t="str">
        <x:v>Collector / authorized management</x:v>
      </x:c>
      <x:c r="E15" t="str">
        <x:v>Yes</x:v>
      </x:c>
      <x:c r="F15" t="str">
        <x:v>All significant handovers</x:v>
      </x:c>
      <x:c r="G15" t="n">
        <x:v>24</x:v>
      </x:c>
      <x:c r="H15" t="n">
        <x:v>48</x:v>
      </x:c>
      <x:c r="I15" t="str">
        <x:v>Yes</x:v>
      </x:c>
      <x:c r="J15" t="str">
        <x:v>No</x:v>
      </x:c>
      <x:c r="K15" t="str">
        <x:v>Finance / Owner</x:v>
      </x:c>
      <x:c r="L15" t="str"/>
      <x:c r="M15" t="str">
        <x:v>Float must be set before go-live</x:v>
      </x:c>
    </x:row>
  </x:sheetData>
  <x:mergeCells>
    <x:mergeCell ref="A1:M1"/>
    <x:mergeCell ref="A2:M2"/>
  </x:mergeCells>
  <x:dataValidations count="3">
    <x:dataValidation type="list" sqref="E5:E15">
      <x:formula1>"Yes,No"</x:formula1>
    </x:dataValidation>
    <x:dataValidation type="list" sqref="I5:I15">
      <x:formula1>"Yes,No"</x:formula1>
    </x:dataValidation>
    <x:dataValidation type="list" sqref="J5:J1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40ad95c32c4e5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34" hidden="0" customWidth="1"/>
    <x:col min="8" max="8" width="22" hidden="0" customWidth="1"/>
    <x:col min="9" max="9" width="14" hidden="0" customWidth="1"/>
    <x:col min="10" max="10" width="16" hidden="0" customWidth="1"/>
    <x:col min="11" max="11" width="36" hidden="0" customWidth="1"/>
  </x:cols>
  <x:sheetData>
    <x:row r="1" ht="28" customHeight="1">
      <x:c r="A1" s="4" t="str">
        <x:v>Variance &amp; Alert Thresholds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Provisional pilot defaults. Designed to keep development moving; tune from real TEI operating data during the pilot.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6" t="str">
        <x:v>Area</x:v>
      </x:c>
      <x:c r="B4" s="16" t="str">
        <x:v>Metric</x:v>
      </x:c>
      <x:c r="C4" s="16" t="str">
        <x:v>Normal</x:v>
      </x:c>
      <x:c r="D4" s="16" t="str">
        <x:v>Explanation / Warning</x:v>
      </x:c>
      <x:c r="E4" s="16" t="str">
        <x:v>Urgent / Block</x:v>
      </x:c>
      <x:c r="F4" s="16" t="str">
        <x:v>Unit / Rule</x:v>
      </x:c>
      <x:c r="G4" s="16" t="str">
        <x:v>Action</x:v>
      </x:c>
      <x:c r="H4" s="16" t="str">
        <x:v>Owner</x:v>
      </x:c>
      <x:c r="I4" s="16" t="str">
        <x:v>Configurable?</x:v>
      </x:c>
      <x:c r="J4" s="16" t="str">
        <x:v>Pilot Default?</x:v>
      </x:c>
      <x:c r="K4" s="16" t="str">
        <x:v>Notes</x:v>
      </x:c>
    </x:row>
    <x:row r="5">
      <x:c r="A5" t="str">
        <x:v>Cash</x:v>
      </x:c>
      <x:c r="B5" t="str">
        <x:v>Cash count variance</x:v>
      </x:c>
      <x:c r="C5" t="str">
        <x:v>Within ±2</x:v>
      </x:c>
      <x:c r="D5" t="str">
        <x:v>&gt; ±2</x:v>
      </x:c>
      <x:c r="E5" t="str">
        <x:v>&gt;= ±10</x:v>
      </x:c>
      <x:c r="F5" t="str">
        <x:v>USD</x:v>
      </x:c>
      <x:c r="G5" t="str">
        <x:v>Explain; urgent management review</x:v>
      </x:c>
      <x:c r="H5" t="str">
        <x:v>Supervisor / Finance</x:v>
      </x:c>
      <x:c r="I5" t="str">
        <x:v>Yes</x:v>
      </x:c>
      <x:c r="J5" t="str">
        <x:v>Yes</x:v>
      </x:c>
      <x:c r="K5" t="str">
        <x:v>Tune by station volume</x:v>
      </x:c>
    </x:row>
    <x:row r="6">
      <x:c r="A6" t="str">
        <x:v>Inventory</x:v>
      </x:c>
      <x:c r="B6" t="str">
        <x:v>Tank/book variance</x:v>
      </x:c>
      <x:c r="C6" t="str">
        <x:v>&lt;= 0.25%</x:v>
      </x:c>
      <x:c r="D6" t="str">
        <x:v>&gt; 0.25%</x:v>
      </x:c>
      <x:c r="E6" t="str">
        <x:v>&gt;= 0.50% or 50 L</x:v>
      </x:c>
      <x:c r="F6" t="str">
        <x:v>% of expected / litres</x:v>
      </x:c>
      <x:c r="G6" t="str">
        <x:v>Explain; urgent management review</x:v>
      </x:c>
      <x:c r="H6" t="str">
        <x:v>Supervisor / Owner</x:v>
      </x:c>
      <x:c r="I6" t="str">
        <x:v>Yes</x:v>
      </x:c>
      <x:c r="J6" t="str">
        <x:v>Yes</x:v>
      </x:c>
      <x:c r="K6" t="str">
        <x:v>Use whichever trigger is more conservative</x:v>
      </x:c>
    </x:row>
    <x:row r="7">
      <x:c r="A7" t="str">
        <x:v>Delivery</x:v>
      </x:c>
      <x:c r="B7" t="str">
        <x:v>Accepted vs delivery-note variance</x:v>
      </x:c>
      <x:c r="C7" t="str">
        <x:v>&lt;= 0.20%</x:v>
      </x:c>
      <x:c r="D7" t="str">
        <x:v>&gt; 0.20%</x:v>
      </x:c>
      <x:c r="E7" t="str">
        <x:v>&gt;= 0.50% or 50 L</x:v>
      </x:c>
      <x:c r="F7" t="str">
        <x:v>% / litres</x:v>
      </x:c>
      <x:c r="G7" t="str">
        <x:v>Require explanation; urgent review</x:v>
      </x:c>
      <x:c r="H7" t="str">
        <x:v>Supervisor / Finance</x:v>
      </x:c>
      <x:c r="I7" t="str">
        <x:v>Yes</x:v>
      </x:c>
      <x:c r="J7" t="str">
        <x:v>Yes</x:v>
      </x:c>
      <x:c r="K7" t="str"/>
    </x:row>
    <x:row r="8">
      <x:c r="A8" t="str">
        <x:v>Cash</x:v>
      </x:c>
      <x:c r="B8" t="str">
        <x:v>Unbanked cash age</x:v>
      </x:c>
      <x:c r="C8" t="str">
        <x:v>&lt; 24h</x:v>
      </x:c>
      <x:c r="D8" t="str">
        <x:v>&gt;= 24h</x:v>
      </x:c>
      <x:c r="E8" t="str">
        <x:v>&gt;= 48h</x:v>
      </x:c>
      <x:c r="F8" t="str">
        <x:v>Hours</x:v>
      </x:c>
      <x:c r="G8" t="str">
        <x:v>Action Center + notification</x:v>
      </x:c>
      <x:c r="H8" t="str">
        <x:v>Finance / Owner</x:v>
      </x:c>
      <x:c r="I8" t="str">
        <x:v>Yes</x:v>
      </x:c>
      <x:c r="J8" t="str">
        <x:v>Yes</x:v>
      </x:c>
      <x:c r="K8" t="str"/>
    </x:row>
    <x:row r="9">
      <x:c r="A9" t="str">
        <x:v>Supplier</x:v>
      </x:c>
      <x:c r="B9" t="str">
        <x:v>Invoice due soon</x:v>
      </x:c>
      <x:c r="C9" t="str">
        <x:v>&gt; 7d</x:v>
      </x:c>
      <x:c r="D9" t="str">
        <x:v>&lt;= 7d</x:v>
      </x:c>
      <x:c r="E9" t="str">
        <x:v>Overdue</x:v>
      </x:c>
      <x:c r="F9" t="str">
        <x:v>Days</x:v>
      </x:c>
      <x:c r="G9" t="str">
        <x:v>Reminder / Action Center</x:v>
      </x:c>
      <x:c r="H9" t="str">
        <x:v>Finance</x:v>
      </x:c>
      <x:c r="I9" t="str">
        <x:v>Yes</x:v>
      </x:c>
      <x:c r="J9" t="str">
        <x:v>Yes</x:v>
      </x:c>
      <x:c r="K9" t="str"/>
    </x:row>
    <x:row r="10">
      <x:c r="A10" t="str">
        <x:v>Customer</x:v>
      </x:c>
      <x:c r="B10" t="str">
        <x:v>Customer overdue</x:v>
      </x:c>
      <x:c r="C10" t="str">
        <x:v>Not overdue</x:v>
      </x:c>
      <x:c r="D10" t="str">
        <x:v>Overdue</x:v>
      </x:c>
      <x:c r="E10" t="str">
        <x:v>Over limit / seriously overdue</x:v>
      </x:c>
      <x:c r="F10" t="str">
        <x:v>Days / amount</x:v>
      </x:c>
      <x:c r="G10" t="str">
        <x:v>Action Center</x:v>
      </x:c>
      <x:c r="H10" t="str">
        <x:v>Finance</x:v>
      </x:c>
      <x:c r="I10" t="str">
        <x:v>Yes</x:v>
      </x:c>
      <x:c r="J10" t="str">
        <x:v>Yes</x:v>
      </x:c>
      <x:c r="K10" t="str"/>
    </x:row>
    <x:row r="11">
      <x:c r="A11" t="str">
        <x:v>Stock</x:v>
      </x:c>
      <x:c r="B11" t="str">
        <x:v>Reorder</x:v>
      </x:c>
      <x:c r="C11" t="str">
        <x:v>Above station threshold</x:v>
      </x:c>
      <x:c r="D11" t="str">
        <x:v>At/below threshold</x:v>
      </x:c>
      <x:c r="E11" t="str">
        <x:v>Critical days cover</x:v>
      </x:c>
      <x:c r="F11" t="str">
        <x:v>Litres / days cover</x:v>
      </x:c>
      <x:c r="G11" t="str">
        <x:v>Reorder alert</x:v>
      </x:c>
      <x:c r="H11" t="str">
        <x:v>Supervisor / Owner</x:v>
      </x:c>
      <x:c r="I11" t="str">
        <x:v>Yes</x:v>
      </x:c>
      <x:c r="J11" t="str">
        <x:v>No</x:v>
      </x:c>
      <x:c r="K11" t="str">
        <x:v>Station-specific value required before go-live</x:v>
      </x:c>
    </x:row>
    <x:row r="12">
      <x:c r="A12" t="str">
        <x:v>Expense</x:v>
      </x:c>
      <x:c r="B12" t="str">
        <x:v>High expense</x:v>
      </x:c>
      <x:c r="C12" t="str">
        <x:v>&lt; USD 250</x:v>
      </x:c>
      <x:c r="D12" t="str">
        <x:v>&gt;= USD 250</x:v>
      </x:c>
      <x:c r="E12" t="str">
        <x:v>&gt;= USD 1,000</x:v>
      </x:c>
      <x:c r="F12" t="str">
        <x:v>USD</x:v>
      </x:c>
      <x:c r="G12" t="str">
        <x:v>Elevated approval / review</x:v>
      </x:c>
      <x:c r="H12" t="str">
        <x:v>Finance / Owner</x:v>
      </x:c>
      <x:c r="I12" t="str">
        <x:v>Yes</x:v>
      </x:c>
      <x:c r="J12" t="str">
        <x:v>Yes</x:v>
      </x:c>
      <x:c r="K12" t="str">
        <x:v>Category rules can override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c0d9cd9b81a40c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40" hidden="0" customWidth="1"/>
    <x:col min="4" max="4" width="34" hidden="0" customWidth="1"/>
    <x:col min="5" max="5" width="22" hidden="0" customWidth="1"/>
    <x:col min="6" max="6" width="14" hidden="0" customWidth="1"/>
    <x:col min="7" max="7" width="30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28" customHeight="1">
      <x:c r="A1" s="4" t="str">
        <x:v>Tax &amp; Accounting Confirmation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Do not invent tax treatment. Shanda Fuel remains tax-ready until TEI's accountant confirms statutory treatment.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6" t="str">
        <x:v>Topic</x:v>
      </x:c>
      <x:c r="B4" s="16" t="str">
        <x:v>Question / Confirmation Needed</x:v>
      </x:c>
      <x:c r="C4" s="16" t="str">
        <x:v>Current System Position</x:v>
      </x:c>
      <x:c r="D4" s="16" t="str">
        <x:v>Client / Accountant Answer</x:v>
      </x:c>
      <x:c r="E4" s="16" t="str">
        <x:v>Confirmed By</x:v>
      </x:c>
      <x:c r="F4" s="16" t="str">
        <x:v>Date</x:v>
      </x:c>
      <x:c r="G4" s="16" t="str">
        <x:v>Evidence / Source</x:v>
      </x:c>
      <x:c r="H4" s="16" t="str">
        <x:v>Blocks Development?</x:v>
      </x:c>
      <x:c r="I4" s="16" t="str">
        <x:v>Blocks Go-Live?</x:v>
      </x:c>
      <x:c r="J4" s="16" t="str">
        <x:v>Notes</x:v>
      </x:c>
    </x:row>
    <x:row r="5">
      <x:c r="A5" t="str">
        <x:v>Sales tax/VAT</x:v>
      </x:c>
      <x:c r="B5" t="str">
        <x:v>Are fuel selling prices tax-inclusive or tax-exclusive?</x:v>
      </x:c>
      <x:c r="C5" t="str">
        <x:v>Tax-ready; no assumed tax engine</x:v>
      </x:c>
      <x:c r="D5" t="str"/>
      <x:c r="E5" t="str"/>
      <x:c r="F5" t="str"/>
      <x:c r="G5" t="str"/>
      <x:c r="H5" t="str">
        <x:v>No</x:v>
      </x:c>
      <x:c r="I5" t="str">
        <x:v>Yes if tax invoices are required</x:v>
      </x:c>
      <x:c r="J5" t="str"/>
    </x:row>
    <x:row r="6">
      <x:c r="A6" t="str">
        <x:v>Fuel purchases</x:v>
      </x:c>
      <x:c r="B6" t="str">
        <x:v>How should tax on supplier fuel invoices be captured?</x:v>
      </x:c>
      <x:c r="C6" t="str">
        <x:v>Store amounts/currency; tax fields can be enabled after confirmation</x:v>
      </x:c>
      <x:c r="D6" t="str"/>
      <x:c r="E6" t="str"/>
      <x:c r="F6" t="str"/>
      <x:c r="G6" t="str"/>
      <x:c r="H6" t="str">
        <x:v>No</x:v>
      </x:c>
      <x:c r="I6" t="str">
        <x:v>Yes for formal tax reporting</x:v>
      </x:c>
      <x:c r="J6" t="str"/>
    </x:row>
    <x:row r="7">
      <x:c r="A7" t="str">
        <x:v>Transport/direct costs</x:v>
      </x:c>
      <x:c r="B7" t="str">
        <x:v>Is tax recoverable / reportable on direct delivery costs?</x:v>
      </x:c>
      <x:c r="C7" t="str">
        <x:v>No assumption</x:v>
      </x:c>
      <x:c r="D7" t="str"/>
      <x:c r="E7" t="str"/>
      <x:c r="F7" t="str"/>
      <x:c r="G7" t="str"/>
      <x:c r="H7" t="str">
        <x:v>No</x:v>
      </x:c>
      <x:c r="I7" t="str">
        <x:v>Yes for tax reporting</x:v>
      </x:c>
      <x:c r="J7" t="str"/>
    </x:row>
    <x:row r="8">
      <x:c r="A8" t="str">
        <x:v>Customer invoices</x:v>
      </x:c>
      <x:c r="B8" t="str">
        <x:v>What statutory invoice fields are required?</x:v>
      </x:c>
      <x:c r="C8" t="str">
        <x:v>Document engine supports configured fields</x:v>
      </x:c>
      <x:c r="D8" t="str"/>
      <x:c r="E8" t="str"/>
      <x:c r="F8" t="str"/>
      <x:c r="G8" t="str"/>
      <x:c r="H8" t="str">
        <x:v>No</x:v>
      </x:c>
      <x:c r="I8" t="str">
        <x:v>Yes</x:v>
      </x:c>
      <x:c r="J8" t="str"/>
    </x:row>
    <x:row r="9">
      <x:c r="A9" t="str">
        <x:v>Benefit fuel</x:v>
      </x:c>
      <x:c r="B9" t="str">
        <x:v>How should staff/management benefit fuel be treated for accounting/tax?</x:v>
      </x:c>
      <x:c r="C9" t="str">
        <x:v>Separate classification supported</x:v>
      </x:c>
      <x:c r="D9" t="str"/>
      <x:c r="E9" t="str"/>
      <x:c r="F9" t="str"/>
      <x:c r="G9" t="str"/>
      <x:c r="H9" t="str">
        <x:v>No</x:v>
      </x:c>
      <x:c r="I9" t="str">
        <x:v>Yes for official reporting</x:v>
      </x:c>
      <x:c r="J9" t="str"/>
    </x:row>
    <x:row r="10">
      <x:c r="A10" t="str">
        <x:v>Retention</x:v>
      </x:c>
      <x:c r="B10" t="str">
        <x:v>How long must financial, delivery, customer/supplier and audit records be retained?</x:v>
      </x:c>
      <x:c r="C10" t="str">
        <x:v>Retention controls are configurable</x:v>
      </x:c>
      <x:c r="D10" t="str"/>
      <x:c r="E10" t="str"/>
      <x:c r="F10" t="str"/>
      <x:c r="G10" t="str"/>
      <x:c r="H10" t="str">
        <x:v>No</x:v>
      </x:c>
      <x:c r="I10" t="str">
        <x:v>Yes before deletion policies</x:v>
      </x:c>
      <x:c r="J10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0f9e6e04be4403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6" hidden="0" customWidth="1"/>
    <x:col min="5" max="5" width="22" hidden="0" customWidth="1"/>
    <x:col min="6" max="6" width="10" hidden="0" customWidth="1"/>
    <x:col min="7" max="7" width="16" hidden="0" customWidth="1"/>
    <x:col min="8" max="8" width="18" hidden="0" customWidth="1"/>
    <x:col min="9" max="9" width="14" hidden="0" customWidth="1"/>
    <x:col min="10" max="10" width="32" hidden="0" customWidth="1"/>
    <x:col min="11" max="11" width="12" hidden="0" customWidth="1"/>
  </x:cols>
  <x:sheetData>
    <x:row r="1" ht="28" customHeight="1">
      <x:c r="A1" s="4" t="str">
        <x:v>Opening Inventory Positions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No broad history import. These are authoritative cutover positions and must be approved before posting.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6" t="str">
        <x:v>Station</x:v>
      </x:c>
      <x:c r="B4" s="16" t="str">
        <x:v>Inventory Pool</x:v>
      </x:c>
      <x:c r="C4" s="16" t="str">
        <x:v>Product</x:v>
      </x:c>
      <x:c r="D4" s="16" t="str">
        <x:v>Opening Litres</x:v>
      </x:c>
      <x:c r="E4" s="16" t="str">
        <x:v>Opening Inventory Value</x:v>
      </x:c>
      <x:c r="F4" s="16" t="str">
        <x:v>Currency</x:v>
      </x:c>
      <x:c r="G4" s="16" t="str">
        <x:v>Implied WAC</x:v>
      </x:c>
      <x:c r="H4" s="16" t="str">
        <x:v>Physical Dip Litres</x:v>
      </x:c>
      <x:c r="I4" s="16" t="str">
        <x:v>Variance</x:v>
      </x:c>
      <x:c r="J4" s="16" t="str">
        <x:v>Evidence / Source</x:v>
      </x:c>
      <x:c r="K4" s="16" t="str">
        <x:v>Approved?</x:v>
      </x:c>
    </x:row>
    <x:row r="5">
      <x:c r="A5" t="str">
        <x:v>Sandawana</x:v>
      </x:c>
      <x:c r="B5" t="str"/>
      <x:c r="C5" t="str">
        <x:v>Diesel</x:v>
      </x:c>
      <x:c r="D5" s="28" t="str"/>
      <x:c r="E5" s="28" t="str"/>
      <x:c r="F5" s="28" t="str">
        <x:v>USD</x:v>
      </x:c>
      <x:c r="G5" s="28" t="str">
        <x:f>IFERROR(E5/D5,"")</x:f>
      </x:c>
      <x:c r="H5" s="28" t="str"/>
      <x:c r="I5" s="28" t="n">
        <x:f>IFERROR(H5-D5,"")</x:f>
        <x:v>0</x:v>
      </x:c>
      <x:c r="J5" t="str"/>
      <x:c r="K5" t="str">
        <x:v>No</x:v>
      </x:c>
    </x:row>
    <x:row r="6">
      <x:c r="A6" t="str">
        <x:v>Sandawana</x:v>
      </x:c>
      <x:c r="B6" t="str"/>
      <x:c r="C6" t="str">
        <x:v>Petrol</x:v>
      </x:c>
      <x:c r="D6" s="28" t="str"/>
      <x:c r="E6" s="28" t="str"/>
      <x:c r="F6" s="28" t="str">
        <x:v>USD</x:v>
      </x:c>
      <x:c r="G6" s="28" t="str">
        <x:f>IFERROR(E6/D6,"")</x:f>
      </x:c>
      <x:c r="H6" s="28" t="str"/>
      <x:c r="I6" s="28" t="n">
        <x:f>IFERROR(H6-D6,"")</x:f>
        <x:v>0</x:v>
      </x:c>
      <x:c r="J6" t="str"/>
      <x:c r="K6" t="str">
        <x:v>No</x:v>
      </x:c>
    </x:row>
    <x:row r="7">
      <x:c r="A7" t="str">
        <x:v>Hwange</x:v>
      </x:c>
      <x:c r="B7" t="str"/>
      <x:c r="C7" t="str">
        <x:v>Diesel</x:v>
      </x:c>
      <x:c r="D7" s="28" t="str"/>
      <x:c r="E7" s="28" t="str"/>
      <x:c r="F7" s="28" t="str">
        <x:v>USD</x:v>
      </x:c>
      <x:c r="G7" s="28" t="str">
        <x:f>IFERROR(E7/D7,"")</x:f>
      </x:c>
      <x:c r="H7" s="28" t="str"/>
      <x:c r="I7" s="28" t="n">
        <x:f>IFERROR(H7-D7,"")</x:f>
        <x:v>0</x:v>
      </x:c>
      <x:c r="J7" t="str"/>
      <x:c r="K7" t="str">
        <x:v>No</x:v>
      </x:c>
    </x:row>
    <x:row r="8">
      <x:c r="A8" t="str">
        <x:v>Hwange</x:v>
      </x:c>
      <x:c r="B8" t="str"/>
      <x:c r="C8" t="str">
        <x:v>Petrol</x:v>
      </x:c>
      <x:c r="D8" s="28" t="str"/>
      <x:c r="E8" s="28" t="str"/>
      <x:c r="F8" s="28" t="str">
        <x:v>USD</x:v>
      </x:c>
      <x:c r="G8" s="28" t="str">
        <x:f>IFERROR(E8/D8,"")</x:f>
      </x:c>
      <x:c r="H8" s="28" t="str"/>
      <x:c r="I8" s="28" t="n">
        <x:f>IFERROR(H8-D8,"")</x:f>
        <x:v>0</x:v>
      </x:c>
      <x:c r="J8" t="str"/>
      <x:c r="K8" t="str">
        <x:v>No</x:v>
      </x:c>
    </x:row>
    <x:row r="9">
      <x:c r="A9" t="str">
        <x:v>Bindura</x:v>
      </x:c>
      <x:c r="B9" t="str"/>
      <x:c r="C9" t="str">
        <x:v>Diesel</x:v>
      </x:c>
      <x:c r="D9" s="28" t="str"/>
      <x:c r="E9" s="28" t="str"/>
      <x:c r="F9" s="28" t="str">
        <x:v>USD</x:v>
      </x:c>
      <x:c r="G9" s="28" t="str">
        <x:f>IFERROR(E9/D9,"")</x:f>
      </x:c>
      <x:c r="H9" s="28" t="str"/>
      <x:c r="I9" s="28" t="n">
        <x:f>IFERROR(H9-D9,"")</x:f>
        <x:v>0</x:v>
      </x:c>
      <x:c r="J9" t="str"/>
      <x:c r="K9" t="str">
        <x:v>No</x:v>
      </x:c>
    </x:row>
    <x:row r="10">
      <x:c r="A10" t="str">
        <x:v>Bindura</x:v>
      </x:c>
      <x:c r="B10" t="str"/>
      <x:c r="C10" t="str">
        <x:v>Petrol</x:v>
      </x:c>
      <x:c r="D10" s="28" t="str"/>
      <x:c r="E10" s="28" t="str"/>
      <x:c r="F10" s="28" t="str">
        <x:v>USD</x:v>
      </x:c>
      <x:c r="G10" s="28" t="str">
        <x:f>IFERROR(E10/D10,"")</x:f>
      </x:c>
      <x:c r="H10" s="28" t="str"/>
      <x:c r="I10" s="28" t="n">
        <x:f>IFERROR(H10-D10,"")</x:f>
        <x:v>0</x:v>
      </x:c>
      <x:c r="J10" t="str"/>
      <x:c r="K10" t="str">
        <x:v>No</x:v>
      </x:c>
    </x:row>
    <x:row r="11">
      <x:c r="A11" t="str">
        <x:v>Makaha</x:v>
      </x:c>
      <x:c r="B11" t="str"/>
      <x:c r="C11" t="str">
        <x:v>Diesel</x:v>
      </x:c>
      <x:c r="D11" s="28" t="str"/>
      <x:c r="E11" s="28" t="str"/>
      <x:c r="F11" s="28" t="str">
        <x:v>USD</x:v>
      </x:c>
      <x:c r="G11" s="28" t="str">
        <x:f>IFERROR(E11/D11,"")</x:f>
      </x:c>
      <x:c r="H11" s="28" t="str"/>
      <x:c r="I11" s="28" t="n">
        <x:f>IFERROR(H11-D11,"")</x:f>
        <x:v>0</x:v>
      </x:c>
      <x:c r="J11" t="str"/>
      <x:c r="K11" t="str">
        <x:v>No</x:v>
      </x:c>
    </x:row>
    <x:row r="12">
      <x:c r="A12" t="str">
        <x:v>Makaha</x:v>
      </x:c>
      <x:c r="B12" t="str"/>
      <x:c r="C12" t="str">
        <x:v>Petrol</x:v>
      </x:c>
      <x:c r="D12" s="28" t="str"/>
      <x:c r="E12" s="28" t="str"/>
      <x:c r="F12" s="28" t="str">
        <x:v>USD</x:v>
      </x:c>
      <x:c r="G12" s="28" t="str">
        <x:f>IFERROR(E12/D12,"")</x:f>
      </x:c>
      <x:c r="H12" s="28" t="str"/>
      <x:c r="I12" s="28" t="n">
        <x:f>IFERROR(H12-D12,"")</x:f>
        <x:v>0</x:v>
      </x:c>
      <x:c r="J12" t="str"/>
      <x:c r="K12" t="str">
        <x:v>No</x:v>
      </x:c>
    </x:row>
    <x:row r="13">
      <x:c r="A13" t="str">
        <x:v>Kwekwe</x:v>
      </x:c>
      <x:c r="B13" t="str"/>
      <x:c r="C13" t="str">
        <x:v>Diesel</x:v>
      </x:c>
      <x:c r="D13" s="28" t="str"/>
      <x:c r="E13" s="28" t="str"/>
      <x:c r="F13" s="28" t="str">
        <x:v>USD</x:v>
      </x:c>
      <x:c r="G13" s="28" t="str">
        <x:f>IFERROR(E13/D13,"")</x:f>
      </x:c>
      <x:c r="H13" s="28" t="str"/>
      <x:c r="I13" s="28" t="n">
        <x:f>IFERROR(H13-D13,"")</x:f>
        <x:v>0</x:v>
      </x:c>
      <x:c r="J13" t="str"/>
      <x:c r="K13" t="str">
        <x:v>No</x:v>
      </x:c>
    </x:row>
    <x:row r="14">
      <x:c r="A14" t="str">
        <x:v>Kwekwe</x:v>
      </x:c>
      <x:c r="B14" t="str"/>
      <x:c r="C14" t="str">
        <x:v>Petrol</x:v>
      </x:c>
      <x:c r="D14" s="28" t="str"/>
      <x:c r="E14" s="28" t="str"/>
      <x:c r="F14" s="28" t="str">
        <x:v>USD</x:v>
      </x:c>
      <x:c r="G14" s="28" t="str">
        <x:f>IFERROR(E14/D14,"")</x:f>
      </x:c>
      <x:c r="H14" s="28" t="str"/>
      <x:c r="I14" s="28" t="n">
        <x:f>IFERROR(H14-D14,"")</x:f>
        <x:v>0</x:v>
      </x:c>
      <x:c r="J14" t="str"/>
      <x:c r="K14" t="str">
        <x:v>No</x:v>
      </x:c>
    </x:row>
    <x:row r="15">
      <x:c r="A15" t="str">
        <x:v>Kadoma</x:v>
      </x:c>
      <x:c r="B15" t="str"/>
      <x:c r="C15" t="str">
        <x:v>Diesel</x:v>
      </x:c>
      <x:c r="D15" s="28" t="str"/>
      <x:c r="E15" s="28" t="str"/>
      <x:c r="F15" s="28" t="str">
        <x:v>USD</x:v>
      </x:c>
      <x:c r="G15" s="28" t="str">
        <x:f>IFERROR(E15/D15,"")</x:f>
      </x:c>
      <x:c r="H15" s="28" t="str"/>
      <x:c r="I15" s="28" t="n">
        <x:f>IFERROR(H15-D15,"")</x:f>
        <x:v>0</x:v>
      </x:c>
      <x:c r="J15" t="str"/>
      <x:c r="K15" t="str">
        <x:v>No</x:v>
      </x:c>
    </x:row>
    <x:row r="16">
      <x:c r="A16" t="str">
        <x:v>Kadoma</x:v>
      </x:c>
      <x:c r="B16" t="str"/>
      <x:c r="C16" t="str">
        <x:v>Petrol</x:v>
      </x:c>
      <x:c r="D16" s="28" t="str"/>
      <x:c r="E16" s="28" t="str"/>
      <x:c r="F16" s="28" t="str">
        <x:v>USD</x:v>
      </x:c>
      <x:c r="G16" s="28" t="str">
        <x:f>IFERROR(E16/D16,"")</x:f>
      </x:c>
      <x:c r="H16" s="28" t="str"/>
      <x:c r="I16" s="28" t="n">
        <x:f>IFERROR(H16-D16,"")</x:f>
        <x:v>0</x:v>
      </x:c>
      <x:c r="J16" t="str"/>
      <x:c r="K16" t="str">
        <x:v>No</x:v>
      </x:c>
    </x:row>
    <x:row r="17">
      <x:c r="A17" t="str">
        <x:v>Gweru</x:v>
      </x:c>
      <x:c r="B17" t="str"/>
      <x:c r="C17" t="str">
        <x:v>Diesel</x:v>
      </x:c>
      <x:c r="D17" s="28" t="str"/>
      <x:c r="E17" s="28" t="str"/>
      <x:c r="F17" s="28" t="str">
        <x:v>USD</x:v>
      </x:c>
      <x:c r="G17" s="28" t="str">
        <x:f>IFERROR(E17/D17,"")</x:f>
      </x:c>
      <x:c r="H17" s="28" t="str"/>
      <x:c r="I17" s="28" t="n">
        <x:f>IFERROR(H17-D17,"")</x:f>
        <x:v>0</x:v>
      </x:c>
      <x:c r="J17" t="str"/>
      <x:c r="K17" t="str">
        <x:v>No</x:v>
      </x:c>
    </x:row>
    <x:row r="18">
      <x:c r="A18" t="str">
        <x:v>Gweru</x:v>
      </x:c>
      <x:c r="B18" t="str"/>
      <x:c r="C18" t="str">
        <x:v>Petrol</x:v>
      </x:c>
      <x:c r="D18" s="28" t="str"/>
      <x:c r="E18" s="28" t="str"/>
      <x:c r="F18" s="28" t="str">
        <x:v>USD</x:v>
      </x:c>
      <x:c r="G18" s="28" t="str">
        <x:f>IFERROR(E18/D18,"")</x:f>
      </x:c>
      <x:c r="H18" s="28" t="str"/>
      <x:c r="I18" s="28" t="n">
        <x:f>IFERROR(H18-D18,"")</x:f>
        <x:v>0</x:v>
      </x:c>
      <x:c r="J18" t="str"/>
      <x:c r="K18" t="str">
        <x:v>No</x:v>
      </x:c>
    </x:row>
    <x:row r="19">
      <x:c r="A19" t="str">
        <x:v>Harare</x:v>
      </x:c>
      <x:c r="B19" t="str"/>
      <x:c r="C19" t="str">
        <x:v>Diesel</x:v>
      </x:c>
      <x:c r="D19" s="28" t="str"/>
      <x:c r="E19" s="28" t="str"/>
      <x:c r="F19" s="28" t="str">
        <x:v>USD</x:v>
      </x:c>
      <x:c r="G19" s="28" t="str">
        <x:f>IFERROR(E19/D19,"")</x:f>
      </x:c>
      <x:c r="H19" s="28" t="str"/>
      <x:c r="I19" s="28" t="n">
        <x:f>IFERROR(H19-D19,"")</x:f>
        <x:v>0</x:v>
      </x:c>
      <x:c r="J19" t="str"/>
      <x:c r="K19" t="str">
        <x:v>No</x:v>
      </x:c>
    </x:row>
    <x:row r="20">
      <x:c r="A20" t="str">
        <x:v>Harare</x:v>
      </x:c>
      <x:c r="B20" t="str"/>
      <x:c r="C20" t="str">
        <x:v>Petrol</x:v>
      </x:c>
      <x:c r="D20" s="28" t="str"/>
      <x:c r="E20" s="28" t="str"/>
      <x:c r="F20" s="28" t="str">
        <x:v>USD</x:v>
      </x:c>
      <x:c r="G20" s="28" t="str">
        <x:f>IFERROR(E20/D20,"")</x:f>
      </x:c>
      <x:c r="H20" s="28" t="str"/>
      <x:c r="I20" s="28" t="n">
        <x:f>IFERROR(H20-D20,"")</x:f>
        <x:v>0</x:v>
      </x:c>
      <x:c r="J20" t="str"/>
      <x:c r="K20" t="str">
        <x:v>No</x:v>
      </x:c>
    </x:row>
    <x:row r="21">
      <x:c r="A21" t="str">
        <x:v>Mutare</x:v>
      </x:c>
      <x:c r="B21" t="str"/>
      <x:c r="C21" t="str">
        <x:v>Diesel</x:v>
      </x:c>
      <x:c r="D21" s="28" t="str"/>
      <x:c r="E21" s="28" t="str"/>
      <x:c r="F21" s="28" t="str">
        <x:v>USD</x:v>
      </x:c>
      <x:c r="G21" s="28" t="str">
        <x:f>IFERROR(E21/D21,"")</x:f>
      </x:c>
      <x:c r="H21" s="28" t="str"/>
      <x:c r="I21" s="28" t="n">
        <x:f>IFERROR(H21-D21,"")</x:f>
        <x:v>0</x:v>
      </x:c>
      <x:c r="J21" t="str"/>
      <x:c r="K21" t="str">
        <x:v>No</x:v>
      </x:c>
    </x:row>
    <x:row r="22">
      <x:c r="A22" t="str">
        <x:v>Mutare</x:v>
      </x:c>
      <x:c r="B22" t="str"/>
      <x:c r="C22" t="str">
        <x:v>Petrol</x:v>
      </x:c>
      <x:c r="D22" s="28" t="str"/>
      <x:c r="E22" s="28" t="str"/>
      <x:c r="F22" s="28" t="str">
        <x:v>USD</x:v>
      </x:c>
      <x:c r="G22" s="28" t="str">
        <x:f>IFERROR(E22/D22,"")</x:f>
      </x:c>
      <x:c r="H22" s="28" t="str"/>
      <x:c r="I22" s="28" t="n">
        <x:f>IFERROR(H22-D22,"")</x:f>
        <x:v>0</x:v>
      </x:c>
      <x:c r="J22" t="str"/>
      <x:c r="K22" t="str">
        <x:v>No</x:v>
      </x:c>
    </x:row>
    <x:row r="23">
      <x:c r="A23" t="str">
        <x:v>Masvingo</x:v>
      </x:c>
      <x:c r="B23" t="str"/>
      <x:c r="C23" t="str">
        <x:v>Diesel</x:v>
      </x:c>
      <x:c r="D23" s="28" t="str"/>
      <x:c r="E23" s="28" t="str"/>
      <x:c r="F23" s="28" t="str">
        <x:v>USD</x:v>
      </x:c>
      <x:c r="G23" s="28" t="str">
        <x:f>IFERROR(E23/D23,"")</x:f>
      </x:c>
      <x:c r="H23" s="28" t="str"/>
      <x:c r="I23" s="28" t="n">
        <x:f>IFERROR(H23-D23,"")</x:f>
        <x:v>0</x:v>
      </x:c>
      <x:c r="J23" t="str"/>
      <x:c r="K23" t="str">
        <x:v>No</x:v>
      </x:c>
    </x:row>
    <x:row r="24">
      <x:c r="A24" t="str">
        <x:v>Masvingo</x:v>
      </x:c>
      <x:c r="B24" t="str"/>
      <x:c r="C24" t="str">
        <x:v>Petrol</x:v>
      </x:c>
      <x:c r="D24" s="28" t="str"/>
      <x:c r="E24" s="28" t="str"/>
      <x:c r="F24" s="28" t="str">
        <x:v>USD</x:v>
      </x:c>
      <x:c r="G24" s="28" t="str">
        <x:f>IFERROR(E24/D24,"")</x:f>
      </x:c>
      <x:c r="H24" s="28" t="str"/>
      <x:c r="I24" s="28" t="n">
        <x:f>IFERROR(H24-D24,"")</x:f>
        <x:v>0</x:v>
      </x:c>
      <x:c r="J24" t="str"/>
      <x:c r="K24" t="str">
        <x:v>No</x:v>
      </x:c>
    </x:row>
    <x:row r="25">
      <x:c r="A25" t="str">
        <x:v>Bulawayo</x:v>
      </x:c>
      <x:c r="B25" t="str"/>
      <x:c r="C25" t="str">
        <x:v>Diesel</x:v>
      </x:c>
      <x:c r="D25" s="28" t="str"/>
      <x:c r="E25" s="28" t="str"/>
      <x:c r="F25" s="28" t="str">
        <x:v>USD</x:v>
      </x:c>
      <x:c r="G25" s="28" t="str">
        <x:f>IFERROR(E25/D25,"")</x:f>
      </x:c>
      <x:c r="H25" s="28" t="str"/>
      <x:c r="I25" s="28" t="n">
        <x:f>IFERROR(H25-D25,"")</x:f>
        <x:v>0</x:v>
      </x:c>
      <x:c r="J25" t="str"/>
      <x:c r="K25" t="str">
        <x:v>No</x:v>
      </x:c>
    </x:row>
    <x:row r="26">
      <x:c r="A26" t="str">
        <x:v>Bulawayo</x:v>
      </x:c>
      <x:c r="B26" t="str"/>
      <x:c r="C26" t="str">
        <x:v>Petrol</x:v>
      </x:c>
      <x:c r="D26" s="28" t="str"/>
      <x:c r="E26" s="28" t="str"/>
      <x:c r="F26" s="28" t="str">
        <x:v>USD</x:v>
      </x:c>
      <x:c r="G26" s="28" t="str">
        <x:f>IFERROR(E26/D26,"")</x:f>
      </x:c>
      <x:c r="H26" s="28" t="str"/>
      <x:c r="I26" s="28" t="n">
        <x:f>IFERROR(H26-D26,"")</x:f>
        <x:v>0</x:v>
      </x:c>
      <x:c r="J26" t="str"/>
      <x:c r="K26" t="str">
        <x:v>No</x:v>
      </x:c>
    </x:row>
  </x:sheetData>
  <x:mergeCells>
    <x:mergeCell ref="A1:K1"/>
    <x:mergeCell ref="A2:K2"/>
  </x:mergeCells>
  <x:dataValidations count="1">
    <x:dataValidation type="list" sqref="K5:K2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ecb30a8a71442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22" hidden="0" customWidth="1"/>
    <x:col min="5" max="5" width="10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32" hidden="0" customWidth="1"/>
    <x:col min="11" max="11" width="12" hidden="0" customWidth="1"/>
    <x:col min="12" max="12" width="34" hidden="0" customWidth="1"/>
  </x:cols>
  <x:sheetData>
    <x:row r="1" ht="28" customHeight="1">
      <x:c r="A1" s="4" t="str">
        <x:v>Opening Cash / Bank / Provider Positions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Bring forward only real positions that exist at cutover, not historical transactions already completed.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6" t="str">
        <x:v>Category</x:v>
      </x:c>
      <x:c r="B4" s="16" t="str">
        <x:v>Station / Scope</x:v>
      </x:c>
      <x:c r="C4" s="16" t="str">
        <x:v>Custody / Bank / Provider</x:v>
      </x:c>
      <x:c r="D4" s="16" t="str">
        <x:v>Custodian</x:v>
      </x:c>
      <x:c r="E4" s="16" t="str">
        <x:v>Currency</x:v>
      </x:c>
      <x:c r="F4" s="16" t="str">
        <x:v>Amount</x:v>
      </x:c>
      <x:c r="G4" s="16" t="str">
        <x:v>Status</x:v>
      </x:c>
      <x:c r="H4" s="16" t="str">
        <x:v>Reference</x:v>
      </x:c>
      <x:c r="I4" s="16" t="str">
        <x:v>As-of Date</x:v>
      </x:c>
      <x:c r="J4" s="16" t="str">
        <x:v>Evidence / Source</x:v>
      </x:c>
      <x:c r="K4" s="16" t="str">
        <x:v>Approved?</x:v>
      </x:c>
      <x:c r="L4" s="16" t="str">
        <x:v>Notes</x:v>
      </x:c>
    </x:row>
    <x:row r="5">
      <x:c r="A5" t="str">
        <x:v>Station Cash</x:v>
      </x:c>
      <x:c r="B5" t="str">
        <x:v>Sandawana</x:v>
      </x:c>
      <x:c r="C5" t="str">
        <x:v>Station safe / drawer</x:v>
      </x:c>
      <x:c r="D5" t="str"/>
      <x:c r="E5" t="str">
        <x:v>USD</x:v>
      </x:c>
      <x:c r="F5" t="str"/>
      <x:c r="G5" t="str">
        <x:v>At station</x:v>
      </x:c>
      <x:c r="H5" t="str"/>
      <x:c r="I5" t="str"/>
      <x:c r="J5" t="str"/>
      <x:c r="K5" t="str">
        <x:v>No</x:v>
      </x:c>
      <x:c r="L5" t="str"/>
    </x:row>
    <x:row r="6">
      <x:c r="A6" t="str">
        <x:v>Electronic Settlement</x:v>
      </x:c>
      <x:c r="B6" t="str">
        <x:v>Sandawana</x:v>
      </x:c>
      <x:c r="C6" t="str">
        <x:v>POS/EcoCash provider</x:v>
      </x:c>
      <x:c r="D6" t="str"/>
      <x:c r="E6" t="str">
        <x:v>USD</x:v>
      </x:c>
      <x:c r="F6" t="str"/>
      <x:c r="G6" t="str">
        <x:v>Awaiting settlement</x:v>
      </x:c>
      <x:c r="H6" t="str"/>
      <x:c r="I6" t="str"/>
      <x:c r="J6" t="str"/>
      <x:c r="K6" t="str">
        <x:v>No</x:v>
      </x:c>
      <x:c r="L6" t="str"/>
    </x:row>
    <x:row r="7">
      <x:c r="A7" t="str">
        <x:v>Station Cash</x:v>
      </x:c>
      <x:c r="B7" t="str">
        <x:v>Hwange</x:v>
      </x:c>
      <x:c r="C7" t="str">
        <x:v>Station safe / drawer</x:v>
      </x:c>
      <x:c r="D7" t="str"/>
      <x:c r="E7" t="str">
        <x:v>USD</x:v>
      </x:c>
      <x:c r="F7" t="str"/>
      <x:c r="G7" t="str">
        <x:v>At station</x:v>
      </x:c>
      <x:c r="H7" t="str"/>
      <x:c r="I7" t="str"/>
      <x:c r="J7" t="str"/>
      <x:c r="K7" t="str">
        <x:v>No</x:v>
      </x:c>
      <x:c r="L7" t="str"/>
    </x:row>
    <x:row r="8">
      <x:c r="A8" t="str">
        <x:v>Electronic Settlement</x:v>
      </x:c>
      <x:c r="B8" t="str">
        <x:v>Hwange</x:v>
      </x:c>
      <x:c r="C8" t="str">
        <x:v>POS/EcoCash provider</x:v>
      </x:c>
      <x:c r="D8" t="str"/>
      <x:c r="E8" t="str">
        <x:v>USD</x:v>
      </x:c>
      <x:c r="F8" t="str"/>
      <x:c r="G8" t="str">
        <x:v>Awaiting settlement</x:v>
      </x:c>
      <x:c r="H8" t="str"/>
      <x:c r="I8" t="str"/>
      <x:c r="J8" t="str"/>
      <x:c r="K8" t="str">
        <x:v>No</x:v>
      </x:c>
      <x:c r="L8" t="str"/>
    </x:row>
    <x:row r="9">
      <x:c r="A9" t="str">
        <x:v>Station Cash</x:v>
      </x:c>
      <x:c r="B9" t="str">
        <x:v>Bindura</x:v>
      </x:c>
      <x:c r="C9" t="str">
        <x:v>Station safe / drawer</x:v>
      </x:c>
      <x:c r="D9" t="str"/>
      <x:c r="E9" t="str">
        <x:v>USD</x:v>
      </x:c>
      <x:c r="F9" t="str"/>
      <x:c r="G9" t="str">
        <x:v>At station</x:v>
      </x:c>
      <x:c r="H9" t="str"/>
      <x:c r="I9" t="str"/>
      <x:c r="J9" t="str"/>
      <x:c r="K9" t="str">
        <x:v>No</x:v>
      </x:c>
      <x:c r="L9" t="str"/>
    </x:row>
    <x:row r="10">
      <x:c r="A10" t="str">
        <x:v>Electronic Settlement</x:v>
      </x:c>
      <x:c r="B10" t="str">
        <x:v>Bindura</x:v>
      </x:c>
      <x:c r="C10" t="str">
        <x:v>POS/EcoCash provider</x:v>
      </x:c>
      <x:c r="D10" t="str"/>
      <x:c r="E10" t="str">
        <x:v>USD</x:v>
      </x:c>
      <x:c r="F10" t="str"/>
      <x:c r="G10" t="str">
        <x:v>Awaiting settlement</x:v>
      </x:c>
      <x:c r="H10" t="str"/>
      <x:c r="I10" t="str"/>
      <x:c r="J10" t="str"/>
      <x:c r="K10" t="str">
        <x:v>No</x:v>
      </x:c>
      <x:c r="L10" t="str"/>
    </x:row>
    <x:row r="11">
      <x:c r="A11" t="str">
        <x:v>Station Cash</x:v>
      </x:c>
      <x:c r="B11" t="str">
        <x:v>Makaha</x:v>
      </x:c>
      <x:c r="C11" t="str">
        <x:v>Station safe / drawer</x:v>
      </x:c>
      <x:c r="D11" t="str"/>
      <x:c r="E11" t="str">
        <x:v>USD</x:v>
      </x:c>
      <x:c r="F11" t="str"/>
      <x:c r="G11" t="str">
        <x:v>At station</x:v>
      </x:c>
      <x:c r="H11" t="str"/>
      <x:c r="I11" t="str"/>
      <x:c r="J11" t="str"/>
      <x:c r="K11" t="str">
        <x:v>No</x:v>
      </x:c>
      <x:c r="L11" t="str"/>
    </x:row>
    <x:row r="12">
      <x:c r="A12" t="str">
        <x:v>Electronic Settlement</x:v>
      </x:c>
      <x:c r="B12" t="str">
        <x:v>Makaha</x:v>
      </x:c>
      <x:c r="C12" t="str">
        <x:v>POS/EcoCash provider</x:v>
      </x:c>
      <x:c r="D12" t="str"/>
      <x:c r="E12" t="str">
        <x:v>USD</x:v>
      </x:c>
      <x:c r="F12" t="str"/>
      <x:c r="G12" t="str">
        <x:v>Awaiting settlement</x:v>
      </x:c>
      <x:c r="H12" t="str"/>
      <x:c r="I12" t="str"/>
      <x:c r="J12" t="str"/>
      <x:c r="K12" t="str">
        <x:v>No</x:v>
      </x:c>
      <x:c r="L12" t="str"/>
    </x:row>
    <x:row r="13">
      <x:c r="A13" t="str">
        <x:v>Station Cash</x:v>
      </x:c>
      <x:c r="B13" t="str">
        <x:v>Kwekwe</x:v>
      </x:c>
      <x:c r="C13" t="str">
        <x:v>Station safe / drawer</x:v>
      </x:c>
      <x:c r="D13" t="str"/>
      <x:c r="E13" t="str">
        <x:v>USD</x:v>
      </x:c>
      <x:c r="F13" t="str"/>
      <x:c r="G13" t="str">
        <x:v>At station</x:v>
      </x:c>
      <x:c r="H13" t="str"/>
      <x:c r="I13" t="str"/>
      <x:c r="J13" t="str"/>
      <x:c r="K13" t="str">
        <x:v>No</x:v>
      </x:c>
      <x:c r="L13" t="str"/>
    </x:row>
    <x:row r="14">
      <x:c r="A14" t="str">
        <x:v>Electronic Settlement</x:v>
      </x:c>
      <x:c r="B14" t="str">
        <x:v>Kwekwe</x:v>
      </x:c>
      <x:c r="C14" t="str">
        <x:v>POS/EcoCash provider</x:v>
      </x:c>
      <x:c r="D14" t="str"/>
      <x:c r="E14" t="str">
        <x:v>USD</x:v>
      </x:c>
      <x:c r="F14" t="str"/>
      <x:c r="G14" t="str">
        <x:v>Awaiting settlement</x:v>
      </x:c>
      <x:c r="H14" t="str"/>
      <x:c r="I14" t="str"/>
      <x:c r="J14" t="str"/>
      <x:c r="K14" t="str">
        <x:v>No</x:v>
      </x:c>
      <x:c r="L14" t="str"/>
    </x:row>
    <x:row r="15">
      <x:c r="A15" t="str">
        <x:v>Station Cash</x:v>
      </x:c>
      <x:c r="B15" t="str">
        <x:v>Kadoma</x:v>
      </x:c>
      <x:c r="C15" t="str">
        <x:v>Station safe / drawer</x:v>
      </x:c>
      <x:c r="D15" t="str"/>
      <x:c r="E15" t="str">
        <x:v>USD</x:v>
      </x:c>
      <x:c r="F15" t="str"/>
      <x:c r="G15" t="str">
        <x:v>At station</x:v>
      </x:c>
      <x:c r="H15" t="str"/>
      <x:c r="I15" t="str"/>
      <x:c r="J15" t="str"/>
      <x:c r="K15" t="str">
        <x:v>No</x:v>
      </x:c>
      <x:c r="L15" t="str"/>
    </x:row>
    <x:row r="16">
      <x:c r="A16" t="str">
        <x:v>Electronic Settlement</x:v>
      </x:c>
      <x:c r="B16" t="str">
        <x:v>Kadoma</x:v>
      </x:c>
      <x:c r="C16" t="str">
        <x:v>POS/EcoCash provider</x:v>
      </x:c>
      <x:c r="D16" t="str"/>
      <x:c r="E16" t="str">
        <x:v>USD</x:v>
      </x:c>
      <x:c r="F16" t="str"/>
      <x:c r="G16" t="str">
        <x:v>Awaiting settlement</x:v>
      </x:c>
      <x:c r="H16" t="str"/>
      <x:c r="I16" t="str"/>
      <x:c r="J16" t="str"/>
      <x:c r="K16" t="str">
        <x:v>No</x:v>
      </x:c>
      <x:c r="L16" t="str"/>
    </x:row>
    <x:row r="17">
      <x:c r="A17" t="str">
        <x:v>Station Cash</x:v>
      </x:c>
      <x:c r="B17" t="str">
        <x:v>Gweru</x:v>
      </x:c>
      <x:c r="C17" t="str">
        <x:v>Station safe / drawer</x:v>
      </x:c>
      <x:c r="D17" t="str"/>
      <x:c r="E17" t="str">
        <x:v>USD</x:v>
      </x:c>
      <x:c r="F17" t="str"/>
      <x:c r="G17" t="str">
        <x:v>At station</x:v>
      </x:c>
      <x:c r="H17" t="str"/>
      <x:c r="I17" t="str"/>
      <x:c r="J17" t="str"/>
      <x:c r="K17" t="str">
        <x:v>No</x:v>
      </x:c>
      <x:c r="L17" t="str"/>
    </x:row>
    <x:row r="18">
      <x:c r="A18" t="str">
        <x:v>Electronic Settlement</x:v>
      </x:c>
      <x:c r="B18" t="str">
        <x:v>Gweru</x:v>
      </x:c>
      <x:c r="C18" t="str">
        <x:v>POS/EcoCash provider</x:v>
      </x:c>
      <x:c r="D18" t="str"/>
      <x:c r="E18" t="str">
        <x:v>USD</x:v>
      </x:c>
      <x:c r="F18" t="str"/>
      <x:c r="G18" t="str">
        <x:v>Awaiting settlement</x:v>
      </x:c>
      <x:c r="H18" t="str"/>
      <x:c r="I18" t="str"/>
      <x:c r="J18" t="str"/>
      <x:c r="K18" t="str">
        <x:v>No</x:v>
      </x:c>
      <x:c r="L18" t="str"/>
    </x:row>
    <x:row r="19">
      <x:c r="A19" t="str">
        <x:v>Station Cash</x:v>
      </x:c>
      <x:c r="B19" t="str">
        <x:v>Harare</x:v>
      </x:c>
      <x:c r="C19" t="str">
        <x:v>Station safe / drawer</x:v>
      </x:c>
      <x:c r="D19" t="str"/>
      <x:c r="E19" t="str">
        <x:v>USD</x:v>
      </x:c>
      <x:c r="F19" t="str"/>
      <x:c r="G19" t="str">
        <x:v>At station</x:v>
      </x:c>
      <x:c r="H19" t="str"/>
      <x:c r="I19" t="str"/>
      <x:c r="J19" t="str"/>
      <x:c r="K19" t="str">
        <x:v>No</x:v>
      </x:c>
      <x:c r="L19" t="str"/>
    </x:row>
    <x:row r="20">
      <x:c r="A20" t="str">
        <x:v>Electronic Settlement</x:v>
      </x:c>
      <x:c r="B20" t="str">
        <x:v>Harare</x:v>
      </x:c>
      <x:c r="C20" t="str">
        <x:v>POS/EcoCash provider</x:v>
      </x:c>
      <x:c r="D20" t="str"/>
      <x:c r="E20" t="str">
        <x:v>USD</x:v>
      </x:c>
      <x:c r="F20" t="str"/>
      <x:c r="G20" t="str">
        <x:v>Awaiting settlement</x:v>
      </x:c>
      <x:c r="H20" t="str"/>
      <x:c r="I20" t="str"/>
      <x:c r="J20" t="str"/>
      <x:c r="K20" t="str">
        <x:v>No</x:v>
      </x:c>
      <x:c r="L20" t="str"/>
    </x:row>
    <x:row r="21">
      <x:c r="A21" t="str">
        <x:v>Station Cash</x:v>
      </x:c>
      <x:c r="B21" t="str">
        <x:v>Mutare</x:v>
      </x:c>
      <x:c r="C21" t="str">
        <x:v>Station safe / drawer</x:v>
      </x:c>
      <x:c r="D21" t="str"/>
      <x:c r="E21" t="str">
        <x:v>USD</x:v>
      </x:c>
      <x:c r="F21" t="str"/>
      <x:c r="G21" t="str">
        <x:v>At station</x:v>
      </x:c>
      <x:c r="H21" t="str"/>
      <x:c r="I21" t="str"/>
      <x:c r="J21" t="str"/>
      <x:c r="K21" t="str">
        <x:v>No</x:v>
      </x:c>
      <x:c r="L21" t="str"/>
    </x:row>
    <x:row r="22">
      <x:c r="A22" t="str">
        <x:v>Electronic Settlement</x:v>
      </x:c>
      <x:c r="B22" t="str">
        <x:v>Mutare</x:v>
      </x:c>
      <x:c r="C22" t="str">
        <x:v>POS/EcoCash provider</x:v>
      </x:c>
      <x:c r="D22" t="str"/>
      <x:c r="E22" t="str">
        <x:v>USD</x:v>
      </x:c>
      <x:c r="F22" t="str"/>
      <x:c r="G22" t="str">
        <x:v>Awaiting settlement</x:v>
      </x:c>
      <x:c r="H22" t="str"/>
      <x:c r="I22" t="str"/>
      <x:c r="J22" t="str"/>
      <x:c r="K22" t="str">
        <x:v>No</x:v>
      </x:c>
      <x:c r="L22" t="str"/>
    </x:row>
    <x:row r="23">
      <x:c r="A23" t="str">
        <x:v>Station Cash</x:v>
      </x:c>
      <x:c r="B23" t="str">
        <x:v>Masvingo</x:v>
      </x:c>
      <x:c r="C23" t="str">
        <x:v>Station safe / drawer</x:v>
      </x:c>
      <x:c r="D23" t="str"/>
      <x:c r="E23" t="str">
        <x:v>USD</x:v>
      </x:c>
      <x:c r="F23" t="str"/>
      <x:c r="G23" t="str">
        <x:v>At station</x:v>
      </x:c>
      <x:c r="H23" t="str"/>
      <x:c r="I23" t="str"/>
      <x:c r="J23" t="str"/>
      <x:c r="K23" t="str">
        <x:v>No</x:v>
      </x:c>
      <x:c r="L23" t="str"/>
    </x:row>
    <x:row r="24">
      <x:c r="A24" t="str">
        <x:v>Electronic Settlement</x:v>
      </x:c>
      <x:c r="B24" t="str">
        <x:v>Masvingo</x:v>
      </x:c>
      <x:c r="C24" t="str">
        <x:v>POS/EcoCash provider</x:v>
      </x:c>
      <x:c r="D24" t="str"/>
      <x:c r="E24" t="str">
        <x:v>USD</x:v>
      </x:c>
      <x:c r="F24" t="str"/>
      <x:c r="G24" t="str">
        <x:v>Awaiting settlement</x:v>
      </x:c>
      <x:c r="H24" t="str"/>
      <x:c r="I24" t="str"/>
      <x:c r="J24" t="str"/>
      <x:c r="K24" t="str">
        <x:v>No</x:v>
      </x:c>
      <x:c r="L24" t="str"/>
    </x:row>
    <x:row r="25">
      <x:c r="A25" t="str">
        <x:v>Station Cash</x:v>
      </x:c>
      <x:c r="B25" t="str">
        <x:v>Bulawayo</x:v>
      </x:c>
      <x:c r="C25" t="str">
        <x:v>Station safe / drawer</x:v>
      </x:c>
      <x:c r="D25" t="str"/>
      <x:c r="E25" t="str">
        <x:v>USD</x:v>
      </x:c>
      <x:c r="F25" t="str"/>
      <x:c r="G25" t="str">
        <x:v>At station</x:v>
      </x:c>
      <x:c r="H25" t="str"/>
      <x:c r="I25" t="str"/>
      <x:c r="J25" t="str"/>
      <x:c r="K25" t="str">
        <x:v>No</x:v>
      </x:c>
      <x:c r="L25" t="str"/>
    </x:row>
    <x:row r="26">
      <x:c r="A26" t="str">
        <x:v>Electronic Settlement</x:v>
      </x:c>
      <x:c r="B26" t="str">
        <x:v>Bulawayo</x:v>
      </x:c>
      <x:c r="C26" t="str">
        <x:v>POS/EcoCash provider</x:v>
      </x:c>
      <x:c r="D26" t="str"/>
      <x:c r="E26" t="str">
        <x:v>USD</x:v>
      </x:c>
      <x:c r="F26" t="str"/>
      <x:c r="G26" t="str">
        <x:v>Awaiting settlement</x:v>
      </x:c>
      <x:c r="H26" t="str"/>
      <x:c r="I26" t="str"/>
      <x:c r="J26" t="str"/>
      <x:c r="K26" t="str">
        <x:v>No</x:v>
      </x:c>
      <x:c r="L26" t="str"/>
    </x:row>
    <x:row r="27">
      <x:c r="A27" t="str">
        <x:v>Bank</x:v>
      </x:c>
      <x:c r="B27" t="str">
        <x:v>Company</x:v>
      </x:c>
      <x:c r="C27" t="str"/>
      <x:c r="D27" t="str"/>
      <x:c r="E27" t="str">
        <x:v>USD</x:v>
      </x:c>
      <x:c r="F27" t="str"/>
      <x:c r="G27" t="str">
        <x:v>Tracked opening amount</x:v>
      </x:c>
      <x:c r="H27" t="str"/>
      <x:c r="I27" t="str"/>
      <x:c r="J27" t="str"/>
      <x:c r="K27" t="str">
        <x:v>No</x:v>
      </x:c>
      <x:c r="L27" t="str"/>
    </x:row>
    <x:row r="28">
      <x:c r="A28" t="str">
        <x:v>Cash In Transit</x:v>
      </x:c>
      <x:c r="B28" t="str">
        <x:v>Company</x:v>
      </x:c>
      <x:c r="C28" t="str"/>
      <x:c r="D28" t="str"/>
      <x:c r="E28" t="str">
        <x:v>USD</x:v>
      </x:c>
      <x:c r="F28" t="str"/>
      <x:c r="G28" t="str">
        <x:v>In transit / collected not banked</x:v>
      </x:c>
      <x:c r="H28" t="str"/>
      <x:c r="I28" t="str"/>
      <x:c r="J28" t="str"/>
      <x:c r="K28" t="str">
        <x:v>No</x:v>
      </x:c>
      <x:c r="L28" t="str"/>
    </x:row>
  </x:sheetData>
  <x:mergeCells>
    <x:mergeCell ref="A1:L1"/>
    <x:mergeCell ref="A2:L2"/>
  </x:mergeCells>
  <x:dataValidations count="2">
    <x:dataValidation type="list" sqref="A5:A28">
      <x:formula1>"Station Cash,Cash In Transit,Bank,Electronic Settlement,Other"</x:formula1>
    </x:dataValidation>
    <x:dataValidation type="list" sqref="K5:K2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e5c515e7b745e9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12" hidden="0" customWidth="1"/>
    <x:col min="5" max="5" width="10" hidden="0" customWidth="1"/>
    <x:col min="6" max="6" width="16" hidden="0" customWidth="1"/>
    <x:col min="7" max="7" width="16" hidden="0" customWidth="1"/>
    <x:col min="8" max="8" width="14" hidden="0" customWidth="1"/>
    <x:col min="9" max="9" width="20" hidden="0" customWidth="1"/>
    <x:col min="10" max="10" width="16" hidden="0" customWidth="1"/>
    <x:col min="11" max="11" width="32" hidden="0" customWidth="1"/>
    <x:col min="12" max="12" width="12" hidden="0" customWidth="1"/>
    <x:col min="13" max="13" width="34" hidden="0" customWidth="1"/>
  </x:cols>
  <x:sheetData>
    <x:row r="1" ht="28" customHeight="1">
      <x:c r="A1" s="4" t="str">
        <x:v>Opening Supplier / Customer / Prepaid Positions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2" customHeight="1">
      <x:c r="A2" s="10" t="str">
        <x:v>Outstanding items at cutover are opening positions even though broad historical migration is not being done.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>
      <x:c r="A4" s="16" t="str">
        <x:v>Position Type</x:v>
      </x:c>
      <x:c r="B4" s="16" t="str">
        <x:v>Counterparty</x:v>
      </x:c>
      <x:c r="C4" s="16" t="str">
        <x:v>Account / Invoice Ref</x:v>
      </x:c>
      <x:c r="D4" s="16" t="str">
        <x:v>Product</x:v>
      </x:c>
      <x:c r="E4" s="16" t="str">
        <x:v>Currency</x:v>
      </x:c>
      <x:c r="F4" s="16" t="str">
        <x:v>Amount</x:v>
      </x:c>
      <x:c r="G4" s="16" t="str">
        <x:v>Litres</x:v>
      </x:c>
      <x:c r="H4" s="16" t="str">
        <x:v>Due Date</x:v>
      </x:c>
      <x:c r="I4" s="16" t="str">
        <x:v>Unapplied / Reserved</x:v>
      </x:c>
      <x:c r="J4" s="16" t="str">
        <x:v>Status</x:v>
      </x:c>
      <x:c r="K4" s="16" t="str">
        <x:v>Evidence / Source</x:v>
      </x:c>
      <x:c r="L4" s="16" t="str">
        <x:v>Approved?</x:v>
      </x:c>
      <x:c r="M4" s="16" t="str">
        <x:v>Notes</x:v>
      </x:c>
    </x:row>
    <x:row r="5">
      <x:c r="A5" t="str">
        <x:v>Supplier Payable</x:v>
      </x:c>
      <x:c r="B5" t="str"/>
      <x:c r="C5" t="str"/>
      <x:c r="D5" t="str"/>
      <x:c r="E5" t="str">
        <x:v>USD</x:v>
      </x:c>
      <x:c r="F5" t="str"/>
      <x:c r="G5" t="str"/>
      <x:c r="H5" t="str"/>
      <x:c r="I5" t="str"/>
      <x:c r="J5" t="str">
        <x:v>Open</x:v>
      </x:c>
      <x:c r="K5" t="str"/>
      <x:c r="L5" t="str">
        <x:v>No</x:v>
      </x:c>
      <x:c r="M5" t="str"/>
    </x:row>
    <x:row r="6">
      <x:c r="A6" t="str">
        <x:v>Supplier Payable</x:v>
      </x:c>
      <x:c r="B6" t="str"/>
      <x:c r="C6" t="str"/>
      <x:c r="D6" t="str"/>
      <x:c r="E6" t="str">
        <x:v>USD</x:v>
      </x:c>
      <x:c r="F6" t="str"/>
      <x:c r="G6" t="str"/>
      <x:c r="H6" t="str"/>
      <x:c r="I6" t="str"/>
      <x:c r="J6" t="str">
        <x:v>Open</x:v>
      </x:c>
      <x:c r="K6" t="str"/>
      <x:c r="L6" t="str">
        <x:v>No</x:v>
      </x:c>
      <x:c r="M6" t="str"/>
    </x:row>
    <x:row r="7">
      <x:c r="A7" t="str">
        <x:v>Supplier Payable</x:v>
      </x:c>
      <x:c r="B7" t="str"/>
      <x:c r="C7" t="str"/>
      <x:c r="D7" t="str"/>
      <x:c r="E7" t="str">
        <x:v>USD</x:v>
      </x:c>
      <x:c r="F7" t="str"/>
      <x:c r="G7" t="str"/>
      <x:c r="H7" t="str"/>
      <x:c r="I7" t="str"/>
      <x:c r="J7" t="str">
        <x:v>Open</x:v>
      </x:c>
      <x:c r="K7" t="str"/>
      <x:c r="L7" t="str">
        <x:v>No</x:v>
      </x:c>
      <x:c r="M7" t="str"/>
    </x:row>
    <x:row r="8">
      <x:c r="A8" t="str">
        <x:v>Supplier Payable</x:v>
      </x:c>
      <x:c r="B8" t="str"/>
      <x:c r="C8" t="str"/>
      <x:c r="D8" t="str"/>
      <x:c r="E8" t="str">
        <x:v>USD</x:v>
      </x:c>
      <x:c r="F8" t="str"/>
      <x:c r="G8" t="str"/>
      <x:c r="H8" t="str"/>
      <x:c r="I8" t="str"/>
      <x:c r="J8" t="str">
        <x:v>Open</x:v>
      </x:c>
      <x:c r="K8" t="str"/>
      <x:c r="L8" t="str">
        <x:v>No</x:v>
      </x:c>
      <x:c r="M8" t="str"/>
    </x:row>
    <x:row r="9">
      <x:c r="A9" t="str">
        <x:v>Supplier Payable</x:v>
      </x:c>
      <x:c r="B9" t="str"/>
      <x:c r="C9" t="str"/>
      <x:c r="D9" t="str"/>
      <x:c r="E9" t="str">
        <x:v>USD</x:v>
      </x:c>
      <x:c r="F9" t="str"/>
      <x:c r="G9" t="str"/>
      <x:c r="H9" t="str"/>
      <x:c r="I9" t="str"/>
      <x:c r="J9" t="str">
        <x:v>Open</x:v>
      </x:c>
      <x:c r="K9" t="str"/>
      <x:c r="L9" t="str">
        <x:v>No</x:v>
      </x:c>
      <x:c r="M9" t="str"/>
    </x:row>
    <x:row r="10">
      <x:c r="A10" t="str">
        <x:v>Supplier Payable</x:v>
      </x:c>
      <x:c r="B10" t="str"/>
      <x:c r="C10" t="str"/>
      <x:c r="D10" t="str"/>
      <x:c r="E10" t="str">
        <x:v>USD</x:v>
      </x:c>
      <x:c r="F10" t="str"/>
      <x:c r="G10" t="str"/>
      <x:c r="H10" t="str"/>
      <x:c r="I10" t="str"/>
      <x:c r="J10" t="str">
        <x:v>Open</x:v>
      </x:c>
      <x:c r="K10" t="str"/>
      <x:c r="L10" t="str">
        <x:v>No</x:v>
      </x:c>
      <x:c r="M10" t="str"/>
    </x:row>
    <x:row r="11">
      <x:c r="A11" t="str">
        <x:v>Supplier Payable</x:v>
      </x:c>
      <x:c r="B11" t="str"/>
      <x:c r="C11" t="str"/>
      <x:c r="D11" t="str"/>
      <x:c r="E11" t="str">
        <x:v>USD</x:v>
      </x:c>
      <x:c r="F11" t="str"/>
      <x:c r="G11" t="str"/>
      <x:c r="H11" t="str"/>
      <x:c r="I11" t="str"/>
      <x:c r="J11" t="str">
        <x:v>Open</x:v>
      </x:c>
      <x:c r="K11" t="str"/>
      <x:c r="L11" t="str">
        <x:v>No</x:v>
      </x:c>
      <x:c r="M11" t="str"/>
    </x:row>
    <x:row r="12">
      <x:c r="A12" t="str">
        <x:v>Supplier Payable</x:v>
      </x:c>
      <x:c r="B12" t="str"/>
      <x:c r="C12" t="str"/>
      <x:c r="D12" t="str"/>
      <x:c r="E12" t="str">
        <x:v>USD</x:v>
      </x:c>
      <x:c r="F12" t="str"/>
      <x:c r="G12" t="str"/>
      <x:c r="H12" t="str"/>
      <x:c r="I12" t="str"/>
      <x:c r="J12" t="str">
        <x:v>Open</x:v>
      </x:c>
      <x:c r="K12" t="str"/>
      <x:c r="L12" t="str">
        <x:v>No</x:v>
      </x:c>
      <x:c r="M12" t="str"/>
    </x:row>
    <x:row r="13">
      <x:c r="A13" t="str">
        <x:v>Supplier Payable</x:v>
      </x:c>
      <x:c r="B13" t="str"/>
      <x:c r="C13" t="str"/>
      <x:c r="D13" t="str"/>
      <x:c r="E13" t="str">
        <x:v>USD</x:v>
      </x:c>
      <x:c r="F13" t="str"/>
      <x:c r="G13" t="str"/>
      <x:c r="H13" t="str"/>
      <x:c r="I13" t="str"/>
      <x:c r="J13" t="str">
        <x:v>Open</x:v>
      </x:c>
      <x:c r="K13" t="str"/>
      <x:c r="L13" t="str">
        <x:v>No</x:v>
      </x:c>
      <x:c r="M13" t="str"/>
    </x:row>
    <x:row r="14">
      <x:c r="A14" t="str">
        <x:v>Supplier Payable</x:v>
      </x:c>
      <x:c r="B14" t="str"/>
      <x:c r="C14" t="str"/>
      <x:c r="D14" t="str"/>
      <x:c r="E14" t="str">
        <x:v>USD</x:v>
      </x:c>
      <x:c r="F14" t="str"/>
      <x:c r="G14" t="str"/>
      <x:c r="H14" t="str"/>
      <x:c r="I14" t="str"/>
      <x:c r="J14" t="str">
        <x:v>Open</x:v>
      </x:c>
      <x:c r="K14" t="str"/>
      <x:c r="L14" t="str">
        <x:v>No</x:v>
      </x:c>
      <x:c r="M14" t="str"/>
    </x:row>
    <x:row r="15">
      <x:c r="A15" t="str">
        <x:v>Supplier Payable</x:v>
      </x:c>
      <x:c r="B15" t="str"/>
      <x:c r="C15" t="str"/>
      <x:c r="D15" t="str"/>
      <x:c r="E15" t="str">
        <x:v>USD</x:v>
      </x:c>
      <x:c r="F15" t="str"/>
      <x:c r="G15" t="str"/>
      <x:c r="H15" t="str"/>
      <x:c r="I15" t="str"/>
      <x:c r="J15" t="str">
        <x:v>Open</x:v>
      </x:c>
      <x:c r="K15" t="str"/>
      <x:c r="L15" t="str">
        <x:v>No</x:v>
      </x:c>
      <x:c r="M15" t="str"/>
    </x:row>
    <x:row r="16">
      <x:c r="A16" t="str">
        <x:v>Supplier Payable</x:v>
      </x:c>
      <x:c r="B16" t="str"/>
      <x:c r="C16" t="str"/>
      <x:c r="D16" t="str"/>
      <x:c r="E16" t="str">
        <x:v>USD</x:v>
      </x:c>
      <x:c r="F16" t="str"/>
      <x:c r="G16" t="str"/>
      <x:c r="H16" t="str"/>
      <x:c r="I16" t="str"/>
      <x:c r="J16" t="str">
        <x:v>Open</x:v>
      </x:c>
      <x:c r="K16" t="str"/>
      <x:c r="L16" t="str">
        <x:v>No</x:v>
      </x:c>
      <x:c r="M16" t="str"/>
    </x:row>
    <x:row r="17">
      <x:c r="A17" t="str">
        <x:v>Supplier Payable</x:v>
      </x:c>
      <x:c r="B17" t="str"/>
      <x:c r="C17" t="str"/>
      <x:c r="D17" t="str"/>
      <x:c r="E17" t="str">
        <x:v>USD</x:v>
      </x:c>
      <x:c r="F17" t="str"/>
      <x:c r="G17" t="str"/>
      <x:c r="H17" t="str"/>
      <x:c r="I17" t="str"/>
      <x:c r="J17" t="str">
        <x:v>Open</x:v>
      </x:c>
      <x:c r="K17" t="str"/>
      <x:c r="L17" t="str">
        <x:v>No</x:v>
      </x:c>
      <x:c r="M17" t="str"/>
    </x:row>
    <x:row r="18">
      <x:c r="A18" t="str">
        <x:v>Supplier Payable</x:v>
      </x:c>
      <x:c r="B18" t="str"/>
      <x:c r="C18" t="str"/>
      <x:c r="D18" t="str"/>
      <x:c r="E18" t="str">
        <x:v>USD</x:v>
      </x:c>
      <x:c r="F18" t="str"/>
      <x:c r="G18" t="str"/>
      <x:c r="H18" t="str"/>
      <x:c r="I18" t="str"/>
      <x:c r="J18" t="str">
        <x:v>Open</x:v>
      </x:c>
      <x:c r="K18" t="str"/>
      <x:c r="L18" t="str">
        <x:v>No</x:v>
      </x:c>
      <x:c r="M18" t="str"/>
    </x:row>
    <x:row r="19">
      <x:c r="A19" t="str">
        <x:v>Supplier Payable</x:v>
      </x:c>
      <x:c r="B19" t="str"/>
      <x:c r="C19" t="str"/>
      <x:c r="D19" t="str"/>
      <x:c r="E19" t="str">
        <x:v>USD</x:v>
      </x:c>
      <x:c r="F19" t="str"/>
      <x:c r="G19" t="str"/>
      <x:c r="H19" t="str"/>
      <x:c r="I19" t="str"/>
      <x:c r="J19" t="str">
        <x:v>Open</x:v>
      </x:c>
      <x:c r="K19" t="str"/>
      <x:c r="L19" t="str">
        <x:v>No</x:v>
      </x:c>
      <x:c r="M19" t="str"/>
    </x:row>
    <x:row r="20">
      <x:c r="A20" t="str">
        <x:v>Supplier Payable</x:v>
      </x:c>
      <x:c r="B20" t="str"/>
      <x:c r="C20" t="str"/>
      <x:c r="D20" t="str"/>
      <x:c r="E20" t="str">
        <x:v>USD</x:v>
      </x:c>
      <x:c r="F20" t="str"/>
      <x:c r="G20" t="str"/>
      <x:c r="H20" t="str"/>
      <x:c r="I20" t="str"/>
      <x:c r="J20" t="str">
        <x:v>Open</x:v>
      </x:c>
      <x:c r="K20" t="str"/>
      <x:c r="L20" t="str">
        <x:v>No</x:v>
      </x:c>
      <x:c r="M20" t="str"/>
    </x:row>
    <x:row r="21">
      <x:c r="A21" t="str">
        <x:v>Supplier Payable</x:v>
      </x:c>
      <x:c r="B21" t="str"/>
      <x:c r="C21" t="str"/>
      <x:c r="D21" t="str"/>
      <x:c r="E21" t="str">
        <x:v>USD</x:v>
      </x:c>
      <x:c r="F21" t="str"/>
      <x:c r="G21" t="str"/>
      <x:c r="H21" t="str"/>
      <x:c r="I21" t="str"/>
      <x:c r="J21" t="str">
        <x:v>Open</x:v>
      </x:c>
      <x:c r="K21" t="str"/>
      <x:c r="L21" t="str">
        <x:v>No</x:v>
      </x:c>
      <x:c r="M21" t="str"/>
    </x:row>
    <x:row r="22">
      <x:c r="A22" t="str">
        <x:v>Supplier Payable</x:v>
      </x:c>
      <x:c r="B22" t="str"/>
      <x:c r="C22" t="str"/>
      <x:c r="D22" t="str"/>
      <x:c r="E22" t="str">
        <x:v>USD</x:v>
      </x:c>
      <x:c r="F22" t="str"/>
      <x:c r="G22" t="str"/>
      <x:c r="H22" t="str"/>
      <x:c r="I22" t="str"/>
      <x:c r="J22" t="str">
        <x:v>Open</x:v>
      </x:c>
      <x:c r="K22" t="str"/>
      <x:c r="L22" t="str">
        <x:v>No</x:v>
      </x:c>
      <x:c r="M22" t="str"/>
    </x:row>
    <x:row r="23">
      <x:c r="A23" t="str">
        <x:v>Supplier Payable</x:v>
      </x:c>
      <x:c r="B23" t="str"/>
      <x:c r="C23" t="str"/>
      <x:c r="D23" t="str"/>
      <x:c r="E23" t="str">
        <x:v>USD</x:v>
      </x:c>
      <x:c r="F23" t="str"/>
      <x:c r="G23" t="str"/>
      <x:c r="H23" t="str"/>
      <x:c r="I23" t="str"/>
      <x:c r="J23" t="str">
        <x:v>Open</x:v>
      </x:c>
      <x:c r="K23" t="str"/>
      <x:c r="L23" t="str">
        <x:v>No</x:v>
      </x:c>
      <x:c r="M23" t="str"/>
    </x:row>
    <x:row r="24">
      <x:c r="A24" t="str">
        <x:v>Supplier Payable</x:v>
      </x:c>
      <x:c r="B24" t="str"/>
      <x:c r="C24" t="str"/>
      <x:c r="D24" t="str"/>
      <x:c r="E24" t="str">
        <x:v>USD</x:v>
      </x:c>
      <x:c r="F24" t="str"/>
      <x:c r="G24" t="str"/>
      <x:c r="H24" t="str"/>
      <x:c r="I24" t="str"/>
      <x:c r="J24" t="str">
        <x:v>Open</x:v>
      </x:c>
      <x:c r="K24" t="str"/>
      <x:c r="L24" t="str">
        <x:v>No</x:v>
      </x:c>
      <x:c r="M24" t="str"/>
    </x:row>
    <x:row r="25">
      <x:c r="A25" t="str">
        <x:v>Supplier Payable</x:v>
      </x:c>
      <x:c r="B25" t="str"/>
      <x:c r="C25" t="str"/>
      <x:c r="D25" t="str"/>
      <x:c r="E25" t="str">
        <x:v>USD</x:v>
      </x:c>
      <x:c r="F25" t="str"/>
      <x:c r="G25" t="str"/>
      <x:c r="H25" t="str"/>
      <x:c r="I25" t="str"/>
      <x:c r="J25" t="str">
        <x:v>Open</x:v>
      </x:c>
      <x:c r="K25" t="str"/>
      <x:c r="L25" t="str">
        <x:v>No</x:v>
      </x:c>
      <x:c r="M25" t="str"/>
    </x:row>
    <x:row r="26">
      <x:c r="A26" t="str">
        <x:v>Supplier Payable</x:v>
      </x:c>
      <x:c r="B26" t="str"/>
      <x:c r="C26" t="str"/>
      <x:c r="D26" t="str"/>
      <x:c r="E26" t="str">
        <x:v>USD</x:v>
      </x:c>
      <x:c r="F26" t="str"/>
      <x:c r="G26" t="str"/>
      <x:c r="H26" t="str"/>
      <x:c r="I26" t="str"/>
      <x:c r="J26" t="str">
        <x:v>Open</x:v>
      </x:c>
      <x:c r="K26" t="str"/>
      <x:c r="L26" t="str">
        <x:v>No</x:v>
      </x:c>
      <x:c r="M26" t="str"/>
    </x:row>
    <x:row r="27">
      <x:c r="A27" t="str">
        <x:v>Supplier Payable</x:v>
      </x:c>
      <x:c r="B27" t="str"/>
      <x:c r="C27" t="str"/>
      <x:c r="D27" t="str"/>
      <x:c r="E27" t="str">
        <x:v>USD</x:v>
      </x:c>
      <x:c r="F27" t="str"/>
      <x:c r="G27" t="str"/>
      <x:c r="H27" t="str"/>
      <x:c r="I27" t="str"/>
      <x:c r="J27" t="str">
        <x:v>Open</x:v>
      </x:c>
      <x:c r="K27" t="str"/>
      <x:c r="L27" t="str">
        <x:v>No</x:v>
      </x:c>
      <x:c r="M27" t="str"/>
    </x:row>
    <x:row r="28">
      <x:c r="A28" t="str">
        <x:v>Supplier Payable</x:v>
      </x:c>
      <x:c r="B28" t="str"/>
      <x:c r="C28" t="str"/>
      <x:c r="D28" t="str"/>
      <x:c r="E28" t="str">
        <x:v>USD</x:v>
      </x:c>
      <x:c r="F28" t="str"/>
      <x:c r="G28" t="str"/>
      <x:c r="H28" t="str"/>
      <x:c r="I28" t="str"/>
      <x:c r="J28" t="str">
        <x:v>Open</x:v>
      </x:c>
      <x:c r="K28" t="str"/>
      <x:c r="L28" t="str">
        <x:v>No</x:v>
      </x:c>
      <x:c r="M28" t="str"/>
    </x:row>
    <x:row r="29">
      <x:c r="A29" t="str">
        <x:v>Supplier Payable</x:v>
      </x:c>
      <x:c r="B29" t="str"/>
      <x:c r="C29" t="str"/>
      <x:c r="D29" t="str"/>
      <x:c r="E29" t="str">
        <x:v>USD</x:v>
      </x:c>
      <x:c r="F29" t="str"/>
      <x:c r="G29" t="str"/>
      <x:c r="H29" t="str"/>
      <x:c r="I29" t="str"/>
      <x:c r="J29" t="str">
        <x:v>Open</x:v>
      </x:c>
      <x:c r="K29" t="str"/>
      <x:c r="L29" t="str">
        <x:v>No</x:v>
      </x:c>
      <x:c r="M29" t="str"/>
    </x:row>
    <x:row r="30">
      <x:c r="A30" t="str">
        <x:v>Supplier Payable</x:v>
      </x:c>
      <x:c r="B30" t="str"/>
      <x:c r="C30" t="str"/>
      <x:c r="D30" t="str"/>
      <x:c r="E30" t="str">
        <x:v>USD</x:v>
      </x:c>
      <x:c r="F30" t="str"/>
      <x:c r="G30" t="str"/>
      <x:c r="H30" t="str"/>
      <x:c r="I30" t="str"/>
      <x:c r="J30" t="str">
        <x:v>Open</x:v>
      </x:c>
      <x:c r="K30" t="str"/>
      <x:c r="L30" t="str">
        <x:v>No</x:v>
      </x:c>
      <x:c r="M30" t="str"/>
    </x:row>
    <x:row r="31">
      <x:c r="A31" t="str">
        <x:v>Supplier Payable</x:v>
      </x:c>
      <x:c r="B31" t="str"/>
      <x:c r="C31" t="str"/>
      <x:c r="D31" t="str"/>
      <x:c r="E31" t="str">
        <x:v>USD</x:v>
      </x:c>
      <x:c r="F31" t="str"/>
      <x:c r="G31" t="str"/>
      <x:c r="H31" t="str"/>
      <x:c r="I31" t="str"/>
      <x:c r="J31" t="str">
        <x:v>Open</x:v>
      </x:c>
      <x:c r="K31" t="str"/>
      <x:c r="L31" t="str">
        <x:v>No</x:v>
      </x:c>
      <x:c r="M31" t="str"/>
    </x:row>
    <x:row r="32">
      <x:c r="A32" t="str">
        <x:v>Supplier Payable</x:v>
      </x:c>
      <x:c r="B32" t="str"/>
      <x:c r="C32" t="str"/>
      <x:c r="D32" t="str"/>
      <x:c r="E32" t="str">
        <x:v>USD</x:v>
      </x:c>
      <x:c r="F32" t="str"/>
      <x:c r="G32" t="str"/>
      <x:c r="H32" t="str"/>
      <x:c r="I32" t="str"/>
      <x:c r="J32" t="str">
        <x:v>Open</x:v>
      </x:c>
      <x:c r="K32" t="str"/>
      <x:c r="L32" t="str">
        <x:v>No</x:v>
      </x:c>
      <x:c r="M32" t="str"/>
    </x:row>
    <x:row r="33">
      <x:c r="A33" t="str">
        <x:v>Supplier Payable</x:v>
      </x:c>
      <x:c r="B33" t="str"/>
      <x:c r="C33" t="str"/>
      <x:c r="D33" t="str"/>
      <x:c r="E33" t="str">
        <x:v>USD</x:v>
      </x:c>
      <x:c r="F33" t="str"/>
      <x:c r="G33" t="str"/>
      <x:c r="H33" t="str"/>
      <x:c r="I33" t="str"/>
      <x:c r="J33" t="str">
        <x:v>Open</x:v>
      </x:c>
      <x:c r="K33" t="str"/>
      <x:c r="L33" t="str">
        <x:v>No</x:v>
      </x:c>
      <x:c r="M33" t="str"/>
    </x:row>
    <x:row r="34">
      <x:c r="A34" t="str">
        <x:v>Supplier Payable</x:v>
      </x:c>
      <x:c r="B34" t="str"/>
      <x:c r="C34" t="str"/>
      <x:c r="D34" t="str"/>
      <x:c r="E34" t="str">
        <x:v>USD</x:v>
      </x:c>
      <x:c r="F34" t="str"/>
      <x:c r="G34" t="str"/>
      <x:c r="H34" t="str"/>
      <x:c r="I34" t="str"/>
      <x:c r="J34" t="str">
        <x:v>Open</x:v>
      </x:c>
      <x:c r="K34" t="str"/>
      <x:c r="L34" t="str">
        <x:v>No</x:v>
      </x:c>
      <x:c r="M34" t="str"/>
    </x:row>
    <x:row r="35">
      <x:c r="A35" t="str">
        <x:v>Supplier Payable</x:v>
      </x:c>
      <x:c r="B35" t="str"/>
      <x:c r="C35" t="str"/>
      <x:c r="D35" t="str"/>
      <x:c r="E35" t="str">
        <x:v>USD</x:v>
      </x:c>
      <x:c r="F35" t="str"/>
      <x:c r="G35" t="str"/>
      <x:c r="H35" t="str"/>
      <x:c r="I35" t="str"/>
      <x:c r="J35" t="str">
        <x:v>Open</x:v>
      </x:c>
      <x:c r="K35" t="str"/>
      <x:c r="L35" t="str">
        <x:v>No</x:v>
      </x:c>
      <x:c r="M35" t="str"/>
    </x:row>
    <x:row r="36">
      <x:c r="A36" t="str">
        <x:v>Supplier Payable</x:v>
      </x:c>
      <x:c r="B36" t="str"/>
      <x:c r="C36" t="str"/>
      <x:c r="D36" t="str"/>
      <x:c r="E36" t="str">
        <x:v>USD</x:v>
      </x:c>
      <x:c r="F36" t="str"/>
      <x:c r="G36" t="str"/>
      <x:c r="H36" t="str"/>
      <x:c r="I36" t="str"/>
      <x:c r="J36" t="str">
        <x:v>Open</x:v>
      </x:c>
      <x:c r="K36" t="str"/>
      <x:c r="L36" t="str">
        <x:v>No</x:v>
      </x:c>
      <x:c r="M36" t="str"/>
    </x:row>
    <x:row r="37">
      <x:c r="A37" t="str">
        <x:v>Supplier Payable</x:v>
      </x:c>
      <x:c r="B37" t="str"/>
      <x:c r="C37" t="str"/>
      <x:c r="D37" t="str"/>
      <x:c r="E37" t="str">
        <x:v>USD</x:v>
      </x:c>
      <x:c r="F37" t="str"/>
      <x:c r="G37" t="str"/>
      <x:c r="H37" t="str"/>
      <x:c r="I37" t="str"/>
      <x:c r="J37" t="str">
        <x:v>Open</x:v>
      </x:c>
      <x:c r="K37" t="str"/>
      <x:c r="L37" t="str">
        <x:v>No</x:v>
      </x:c>
      <x:c r="M37" t="str"/>
    </x:row>
    <x:row r="38">
      <x:c r="A38" t="str">
        <x:v>Supplier Payable</x:v>
      </x:c>
      <x:c r="B38" t="str"/>
      <x:c r="C38" t="str"/>
      <x:c r="D38" t="str"/>
      <x:c r="E38" t="str">
        <x:v>USD</x:v>
      </x:c>
      <x:c r="F38" t="str"/>
      <x:c r="G38" t="str"/>
      <x:c r="H38" t="str"/>
      <x:c r="I38" t="str"/>
      <x:c r="J38" t="str">
        <x:v>Open</x:v>
      </x:c>
      <x:c r="K38" t="str"/>
      <x:c r="L38" t="str">
        <x:v>No</x:v>
      </x:c>
      <x:c r="M38" t="str"/>
    </x:row>
    <x:row r="39">
      <x:c r="A39" t="str">
        <x:v>Supplier Payable</x:v>
      </x:c>
      <x:c r="B39" t="str"/>
      <x:c r="C39" t="str"/>
      <x:c r="D39" t="str"/>
      <x:c r="E39" t="str">
        <x:v>USD</x:v>
      </x:c>
      <x:c r="F39" t="str"/>
      <x:c r="G39" t="str"/>
      <x:c r="H39" t="str"/>
      <x:c r="I39" t="str"/>
      <x:c r="J39" t="str">
        <x:v>Open</x:v>
      </x:c>
      <x:c r="K39" t="str"/>
      <x:c r="L39" t="str">
        <x:v>No</x:v>
      </x:c>
      <x:c r="M39" t="str"/>
    </x:row>
    <x:row r="40">
      <x:c r="A40" t="str">
        <x:v>Supplier Payable</x:v>
      </x:c>
      <x:c r="B40" t="str"/>
      <x:c r="C40" t="str"/>
      <x:c r="D40" t="str"/>
      <x:c r="E40" t="str">
        <x:v>USD</x:v>
      </x:c>
      <x:c r="F40" t="str"/>
      <x:c r="G40" t="str"/>
      <x:c r="H40" t="str"/>
      <x:c r="I40" t="str"/>
      <x:c r="J40" t="str">
        <x:v>Open</x:v>
      </x:c>
      <x:c r="K40" t="str"/>
      <x:c r="L40" t="str">
        <x:v>No</x:v>
      </x:c>
      <x:c r="M40" t="str"/>
    </x:row>
    <x:row r="41">
      <x:c r="A41" t="str">
        <x:v>Supplier Payable</x:v>
      </x:c>
      <x:c r="B41" t="str"/>
      <x:c r="C41" t="str"/>
      <x:c r="D41" t="str"/>
      <x:c r="E41" t="str">
        <x:v>USD</x:v>
      </x:c>
      <x:c r="F41" t="str"/>
      <x:c r="G41" t="str"/>
      <x:c r="H41" t="str"/>
      <x:c r="I41" t="str"/>
      <x:c r="J41" t="str">
        <x:v>Open</x:v>
      </x:c>
      <x:c r="K41" t="str"/>
      <x:c r="L41" t="str">
        <x:v>No</x:v>
      </x:c>
      <x:c r="M41" t="str"/>
    </x:row>
    <x:row r="42">
      <x:c r="A42" t="str">
        <x:v>Supplier Payable</x:v>
      </x:c>
      <x:c r="B42" t="str"/>
      <x:c r="C42" t="str"/>
      <x:c r="D42" t="str"/>
      <x:c r="E42" t="str">
        <x:v>USD</x:v>
      </x:c>
      <x:c r="F42" t="str"/>
      <x:c r="G42" t="str"/>
      <x:c r="H42" t="str"/>
      <x:c r="I42" t="str"/>
      <x:c r="J42" t="str">
        <x:v>Open</x:v>
      </x:c>
      <x:c r="K42" t="str"/>
      <x:c r="L42" t="str">
        <x:v>No</x:v>
      </x:c>
      <x:c r="M42" t="str"/>
    </x:row>
    <x:row r="43">
      <x:c r="A43" t="str">
        <x:v>Supplier Payable</x:v>
      </x:c>
      <x:c r="B43" t="str"/>
      <x:c r="C43" t="str"/>
      <x:c r="D43" t="str"/>
      <x:c r="E43" t="str">
        <x:v>USD</x:v>
      </x:c>
      <x:c r="F43" t="str"/>
      <x:c r="G43" t="str"/>
      <x:c r="H43" t="str"/>
      <x:c r="I43" t="str"/>
      <x:c r="J43" t="str">
        <x:v>Open</x:v>
      </x:c>
      <x:c r="K43" t="str"/>
      <x:c r="L43" t="str">
        <x:v>No</x:v>
      </x:c>
      <x:c r="M43" t="str"/>
    </x:row>
    <x:row r="44">
      <x:c r="A44" t="str">
        <x:v>Supplier Payable</x:v>
      </x:c>
      <x:c r="B44" t="str"/>
      <x:c r="C44" t="str"/>
      <x:c r="D44" t="str"/>
      <x:c r="E44" t="str">
        <x:v>USD</x:v>
      </x:c>
      <x:c r="F44" t="str"/>
      <x:c r="G44" t="str"/>
      <x:c r="H44" t="str"/>
      <x:c r="I44" t="str"/>
      <x:c r="J44" t="str">
        <x:v>Open</x:v>
      </x:c>
      <x:c r="K44" t="str"/>
      <x:c r="L44" t="str">
        <x:v>No</x:v>
      </x:c>
      <x:c r="M44" t="str"/>
    </x:row>
    <x:row r="45">
      <x:c r="A45" t="str">
        <x:v>Supplier Payable</x:v>
      </x:c>
      <x:c r="B45" t="str"/>
      <x:c r="C45" t="str"/>
      <x:c r="D45" t="str"/>
      <x:c r="E45" t="str">
        <x:v>USD</x:v>
      </x:c>
      <x:c r="F45" t="str"/>
      <x:c r="G45" t="str"/>
      <x:c r="H45" t="str"/>
      <x:c r="I45" t="str"/>
      <x:c r="J45" t="str">
        <x:v>Open</x:v>
      </x:c>
      <x:c r="K45" t="str"/>
      <x:c r="L45" t="str">
        <x:v>No</x:v>
      </x:c>
      <x:c r="M45" t="str"/>
    </x:row>
    <x:row r="46">
      <x:c r="A46" t="str">
        <x:v>Supplier Payable</x:v>
      </x:c>
      <x:c r="B46" t="str"/>
      <x:c r="C46" t="str"/>
      <x:c r="D46" t="str"/>
      <x:c r="E46" t="str">
        <x:v>USD</x:v>
      </x:c>
      <x:c r="F46" t="str"/>
      <x:c r="G46" t="str"/>
      <x:c r="H46" t="str"/>
      <x:c r="I46" t="str"/>
      <x:c r="J46" t="str">
        <x:v>Open</x:v>
      </x:c>
      <x:c r="K46" t="str"/>
      <x:c r="L46" t="str">
        <x:v>No</x:v>
      </x:c>
      <x:c r="M46" t="str"/>
    </x:row>
    <x:row r="47">
      <x:c r="A47" t="str">
        <x:v>Supplier Payable</x:v>
      </x:c>
      <x:c r="B47" t="str"/>
      <x:c r="C47" t="str"/>
      <x:c r="D47" t="str"/>
      <x:c r="E47" t="str">
        <x:v>USD</x:v>
      </x:c>
      <x:c r="F47" t="str"/>
      <x:c r="G47" t="str"/>
      <x:c r="H47" t="str"/>
      <x:c r="I47" t="str"/>
      <x:c r="J47" t="str">
        <x:v>Open</x:v>
      </x:c>
      <x:c r="K47" t="str"/>
      <x:c r="L47" t="str">
        <x:v>No</x:v>
      </x:c>
      <x:c r="M47" t="str"/>
    </x:row>
    <x:row r="48">
      <x:c r="A48" t="str">
        <x:v>Supplier Payable</x:v>
      </x:c>
      <x:c r="B48" t="str"/>
      <x:c r="C48" t="str"/>
      <x:c r="D48" t="str"/>
      <x:c r="E48" t="str">
        <x:v>USD</x:v>
      </x:c>
      <x:c r="F48" t="str"/>
      <x:c r="G48" t="str"/>
      <x:c r="H48" t="str"/>
      <x:c r="I48" t="str"/>
      <x:c r="J48" t="str">
        <x:v>Open</x:v>
      </x:c>
      <x:c r="K48" t="str"/>
      <x:c r="L48" t="str">
        <x:v>No</x:v>
      </x:c>
      <x:c r="M48" t="str"/>
    </x:row>
    <x:row r="49">
      <x:c r="A49" t="str">
        <x:v>Supplier Payable</x:v>
      </x:c>
      <x:c r="B49" t="str"/>
      <x:c r="C49" t="str"/>
      <x:c r="D49" t="str"/>
      <x:c r="E49" t="str">
        <x:v>USD</x:v>
      </x:c>
      <x:c r="F49" t="str"/>
      <x:c r="G49" t="str"/>
      <x:c r="H49" t="str"/>
      <x:c r="I49" t="str"/>
      <x:c r="J49" t="str">
        <x:v>Open</x:v>
      </x:c>
      <x:c r="K49" t="str"/>
      <x:c r="L49" t="str">
        <x:v>No</x:v>
      </x:c>
      <x:c r="M49" t="str"/>
    </x:row>
    <x:row r="50">
      <x:c r="A50" t="str">
        <x:v>Supplier Payable</x:v>
      </x:c>
      <x:c r="B50" t="str"/>
      <x:c r="C50" t="str"/>
      <x:c r="D50" t="str"/>
      <x:c r="E50" t="str">
        <x:v>USD</x:v>
      </x:c>
      <x:c r="F50" t="str"/>
      <x:c r="G50" t="str"/>
      <x:c r="H50" t="str"/>
      <x:c r="I50" t="str"/>
      <x:c r="J50" t="str">
        <x:v>Open</x:v>
      </x:c>
      <x:c r="K50" t="str"/>
      <x:c r="L50" t="str">
        <x:v>No</x:v>
      </x:c>
      <x:c r="M50" t="str"/>
    </x:row>
    <x:row r="51">
      <x:c r="A51" t="str">
        <x:v>Supplier Payable</x:v>
      </x:c>
      <x:c r="B51" t="str"/>
      <x:c r="C51" t="str"/>
      <x:c r="D51" t="str"/>
      <x:c r="E51" t="str">
        <x:v>USD</x:v>
      </x:c>
      <x:c r="F51" t="str"/>
      <x:c r="G51" t="str"/>
      <x:c r="H51" t="str"/>
      <x:c r="I51" t="str"/>
      <x:c r="J51" t="str">
        <x:v>Open</x:v>
      </x:c>
      <x:c r="K51" t="str"/>
      <x:c r="L51" t="str">
        <x:v>No</x:v>
      </x:c>
      <x:c r="M51" t="str"/>
    </x:row>
    <x:row r="52">
      <x:c r="A52" t="str">
        <x:v>Supplier Payable</x:v>
      </x:c>
      <x:c r="B52" t="str"/>
      <x:c r="C52" t="str"/>
      <x:c r="D52" t="str"/>
      <x:c r="E52" t="str">
        <x:v>USD</x:v>
      </x:c>
      <x:c r="F52" t="str"/>
      <x:c r="G52" t="str"/>
      <x:c r="H52" t="str"/>
      <x:c r="I52" t="str"/>
      <x:c r="J52" t="str">
        <x:v>Open</x:v>
      </x:c>
      <x:c r="K52" t="str"/>
      <x:c r="L52" t="str">
        <x:v>No</x:v>
      </x:c>
      <x:c r="M52" t="str"/>
    </x:row>
    <x:row r="53">
      <x:c r="A53" t="str">
        <x:v>Supplier Payable</x:v>
      </x:c>
      <x:c r="B53" t="str"/>
      <x:c r="C53" t="str"/>
      <x:c r="D53" t="str"/>
      <x:c r="E53" t="str">
        <x:v>USD</x:v>
      </x:c>
      <x:c r="F53" t="str"/>
      <x:c r="G53" t="str"/>
      <x:c r="H53" t="str"/>
      <x:c r="I53" t="str"/>
      <x:c r="J53" t="str">
        <x:v>Open</x:v>
      </x:c>
      <x:c r="K53" t="str"/>
      <x:c r="L53" t="str">
        <x:v>No</x:v>
      </x:c>
      <x:c r="M53" t="str"/>
    </x:row>
    <x:row r="54">
      <x:c r="A54" t="str">
        <x:v>Supplier Payable</x:v>
      </x:c>
      <x:c r="B54" t="str"/>
      <x:c r="C54" t="str"/>
      <x:c r="D54" t="str"/>
      <x:c r="E54" t="str">
        <x:v>USD</x:v>
      </x:c>
      <x:c r="F54" t="str"/>
      <x:c r="G54" t="str"/>
      <x:c r="H54" t="str"/>
      <x:c r="I54" t="str"/>
      <x:c r="J54" t="str">
        <x:v>Open</x:v>
      </x:c>
      <x:c r="K54" t="str"/>
      <x:c r="L54" t="str">
        <x:v>No</x:v>
      </x:c>
      <x:c r="M54" t="str"/>
    </x:row>
    <x:row r="55">
      <x:c r="A55" t="str">
        <x:v>Supplier Payable</x:v>
      </x:c>
      <x:c r="B55" t="str"/>
      <x:c r="C55" t="str"/>
      <x:c r="D55" t="str"/>
      <x:c r="E55" t="str">
        <x:v>USD</x:v>
      </x:c>
      <x:c r="F55" t="str"/>
      <x:c r="G55" t="str"/>
      <x:c r="H55" t="str"/>
      <x:c r="I55" t="str"/>
      <x:c r="J55" t="str">
        <x:v>Open</x:v>
      </x:c>
      <x:c r="K55" t="str"/>
      <x:c r="L55" t="str">
        <x:v>No</x:v>
      </x:c>
      <x:c r="M55" t="str"/>
    </x:row>
    <x:row r="56">
      <x:c r="A56" t="str">
        <x:v>Supplier Payable</x:v>
      </x:c>
      <x:c r="B56" t="str"/>
      <x:c r="C56" t="str"/>
      <x:c r="D56" t="str"/>
      <x:c r="E56" t="str">
        <x:v>USD</x:v>
      </x:c>
      <x:c r="F56" t="str"/>
      <x:c r="G56" t="str"/>
      <x:c r="H56" t="str"/>
      <x:c r="I56" t="str"/>
      <x:c r="J56" t="str">
        <x:v>Open</x:v>
      </x:c>
      <x:c r="K56" t="str"/>
      <x:c r="L56" t="str">
        <x:v>No</x:v>
      </x:c>
      <x:c r="M56" t="str"/>
    </x:row>
    <x:row r="57">
      <x:c r="A57" t="str">
        <x:v>Supplier Payable</x:v>
      </x:c>
      <x:c r="B57" t="str"/>
      <x:c r="C57" t="str"/>
      <x:c r="D57" t="str"/>
      <x:c r="E57" t="str">
        <x:v>USD</x:v>
      </x:c>
      <x:c r="F57" t="str"/>
      <x:c r="G57" t="str"/>
      <x:c r="H57" t="str"/>
      <x:c r="I57" t="str"/>
      <x:c r="J57" t="str">
        <x:v>Open</x:v>
      </x:c>
      <x:c r="K57" t="str"/>
      <x:c r="L57" t="str">
        <x:v>No</x:v>
      </x:c>
      <x:c r="M57" t="str"/>
    </x:row>
    <x:row r="58">
      <x:c r="A58" t="str">
        <x:v>Supplier Payable</x:v>
      </x:c>
      <x:c r="B58" t="str"/>
      <x:c r="C58" t="str"/>
      <x:c r="D58" t="str"/>
      <x:c r="E58" t="str">
        <x:v>USD</x:v>
      </x:c>
      <x:c r="F58" t="str"/>
      <x:c r="G58" t="str"/>
      <x:c r="H58" t="str"/>
      <x:c r="I58" t="str"/>
      <x:c r="J58" t="str">
        <x:v>Open</x:v>
      </x:c>
      <x:c r="K58" t="str"/>
      <x:c r="L58" t="str">
        <x:v>No</x:v>
      </x:c>
      <x:c r="M58" t="str"/>
    </x:row>
    <x:row r="59">
      <x:c r="A59" t="str">
        <x:v>Supplier Payable</x:v>
      </x:c>
      <x:c r="B59" t="str"/>
      <x:c r="C59" t="str"/>
      <x:c r="D59" t="str"/>
      <x:c r="E59" t="str">
        <x:v>USD</x:v>
      </x:c>
      <x:c r="F59" t="str"/>
      <x:c r="G59" t="str"/>
      <x:c r="H59" t="str"/>
      <x:c r="I59" t="str"/>
      <x:c r="J59" t="str">
        <x:v>Open</x:v>
      </x:c>
      <x:c r="K59" t="str"/>
      <x:c r="L59" t="str">
        <x:v>No</x:v>
      </x:c>
      <x:c r="M59" t="str"/>
    </x:row>
    <x:row r="60">
      <x:c r="A60" t="str">
        <x:v>Supplier Payable</x:v>
      </x:c>
      <x:c r="B60" t="str"/>
      <x:c r="C60" t="str"/>
      <x:c r="D60" t="str"/>
      <x:c r="E60" t="str">
        <x:v>USD</x:v>
      </x:c>
      <x:c r="F60" t="str"/>
      <x:c r="G60" t="str"/>
      <x:c r="H60" t="str"/>
      <x:c r="I60" t="str"/>
      <x:c r="J60" t="str">
        <x:v>Open</x:v>
      </x:c>
      <x:c r="K60" t="str"/>
      <x:c r="L60" t="str">
        <x:v>No</x:v>
      </x:c>
      <x:c r="M60" t="str"/>
    </x:row>
  </x:sheetData>
  <x:mergeCells>
    <x:mergeCell ref="A1:M1"/>
    <x:mergeCell ref="A2:M2"/>
  </x:mergeCells>
  <x:dataValidations count="2">
    <x:dataValidation type="list" sqref="A5:A60">
      <x:formula1>"Supplier Payable,Supplier Credit/Prepayment,Customer Receivable,Customer Unapplied Credit,Prepaid Value,Prepaid Litres,Unpaid Expense/Obligation"</x:formula1>
    </x:dataValidation>
    <x:dataValidation type="list" sqref="L5:L6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b42fb70504437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4" hidden="0" customWidth="1"/>
    <x:col min="4" max="4" width="28" hidden="0" customWidth="1"/>
    <x:col min="5" max="5" width="20" hidden="0" customWidth="1"/>
    <x:col min="6" max="6" width="12" hidden="0" customWidth="1"/>
    <x:col min="7" max="7" width="24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28" customHeight="1">
      <x:c r="A1" s="4" t="str">
        <x:v>Selective Recent History Import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Only import recent closed history when it is genuinely useful, sufficiently clean, and does not confuse opening-ledger truth.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6" t="str">
        <x:v>Data Set</x:v>
      </x:c>
      <x:c r="B4" s="16" t="str">
        <x:v>Proposed Date Range</x:v>
      </x:c>
      <x:c r="C4" s="16" t="str">
        <x:v>Why Useful</x:v>
      </x:c>
      <x:c r="D4" s="16" t="str">
        <x:v>Source</x:v>
      </x:c>
      <x:c r="E4" s="16" t="str">
        <x:v>Data Quality</x:v>
      </x:c>
      <x:c r="F4" s="16" t="str">
        <x:v>Import?</x:v>
      </x:c>
      <x:c r="G4" s="16" t="str">
        <x:v>Authoritative in New Ledgers?</x:v>
      </x:c>
      <x:c r="H4" s="16" t="str">
        <x:v>Reference Only?</x:v>
      </x:c>
      <x:c r="I4" s="16" t="str">
        <x:v>Owner</x:v>
      </x:c>
      <x:c r="J4" s="16" t="str">
        <x:v>Notes</x:v>
      </x:c>
    </x:row>
    <x:row r="5">
      <x:c r="A5" t="str">
        <x:v>Recent daily reconciliations</x:v>
      </x:c>
      <x:c r="B5" t="str"/>
      <x:c r="C5" t="str">
        <x:v>Comparison / user continuity</x:v>
      </x:c>
      <x:c r="D5" t="str"/>
      <x:c r="E5" t="str">
        <x:v>Unknown</x:v>
      </x:c>
      <x:c r="F5" t="str">
        <x:v>Optional</x:v>
      </x:c>
      <x:c r="G5" t="str">
        <x:v>No</x:v>
      </x:c>
      <x:c r="H5" t="str">
        <x:v>Yes</x:v>
      </x:c>
      <x:c r="I5" t="str">
        <x:v>Finance</x:v>
      </x:c>
      <x:c r="J5" t="str"/>
    </x:row>
    <x:row r="6">
      <x:c r="A6" t="str">
        <x:v>Recent tank dips</x:v>
      </x:c>
      <x:c r="B6" t="str"/>
      <x:c r="C6" t="str">
        <x:v>Trend / variance context</x:v>
      </x:c>
      <x:c r="D6" t="str"/>
      <x:c r="E6" t="str">
        <x:v>Unknown</x:v>
      </x:c>
      <x:c r="F6" t="str">
        <x:v>Optional</x:v>
      </x:c>
      <x:c r="G6" t="str">
        <x:v>No</x:v>
      </x:c>
      <x:c r="H6" t="str">
        <x:v>Yes</x:v>
      </x:c>
      <x:c r="I6" t="str">
        <x:v>Operations</x:v>
      </x:c>
      <x:c r="J6" t="str"/>
    </x:row>
    <x:row r="7">
      <x:c r="A7" t="str">
        <x:v>Recent customer statements</x:v>
      </x:c>
      <x:c r="B7" t="str"/>
      <x:c r="C7" t="str">
        <x:v>Reference continuity</x:v>
      </x:c>
      <x:c r="D7" t="str"/>
      <x:c r="E7" t="str">
        <x:v>Unknown</x:v>
      </x:c>
      <x:c r="F7" t="str">
        <x:v>Optional</x:v>
      </x:c>
      <x:c r="G7" t="str">
        <x:v>No</x:v>
      </x:c>
      <x:c r="H7" t="str">
        <x:v>Yes</x:v>
      </x:c>
      <x:c r="I7" t="str">
        <x:v>Finance</x:v>
      </x:c>
      <x:c r="J7" t="str"/>
    </x:row>
    <x:row r="8">
      <x:c r="A8" t="str">
        <x:v>Recent supplier statements</x:v>
      </x:c>
      <x:c r="B8" t="str"/>
      <x:c r="C8" t="str">
        <x:v>Reference continuity</x:v>
      </x:c>
      <x:c r="D8" t="str"/>
      <x:c r="E8" t="str">
        <x:v>Unknown</x:v>
      </x:c>
      <x:c r="F8" t="str">
        <x:v>Optional</x:v>
      </x:c>
      <x:c r="G8" t="str">
        <x:v>No</x:v>
      </x:c>
      <x:c r="H8" t="str">
        <x:v>Yes</x:v>
      </x:c>
      <x:c r="I8" t="str">
        <x:v>Finance</x:v>
      </x:c>
      <x:c r="J8" t="str"/>
    </x:row>
    <x:row r="9">
      <x:c r="A9" t="str">
        <x:v>Recent sales summary</x:v>
      </x:c>
      <x:c r="B9" t="str"/>
      <x:c r="C9" t="str">
        <x:v>Comparative reporting</x:v>
      </x:c>
      <x:c r="D9" t="str"/>
      <x:c r="E9" t="str">
        <x:v>Unknown</x:v>
      </x:c>
      <x:c r="F9" t="str">
        <x:v>Optional</x:v>
      </x:c>
      <x:c r="G9" t="str">
        <x:v>No</x:v>
      </x:c>
      <x:c r="H9" t="str">
        <x:v>Yes</x:v>
      </x:c>
      <x:c r="I9" t="str">
        <x:v>Management</x:v>
      </x:c>
      <x:c r="J9" t="str"/>
    </x:row>
    <x:row r="22">
      <x:c r="A22" s="24" t="str">
        <x:v>Import principle</x:v>
      </x:c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24" t="str"/>
    </x:row>
    <x:row r="23">
      <x:c r="A23" s="20" t="str">
        <x:v>Opening positions</x:v>
      </x:c>
      <x:c r="B23" s="20" t="str">
        <x:v>Authoritative starting point</x:v>
      </x:c>
      <x:c r="C23" s="20" t="str"/>
      <x:c r="D23" s="20" t="str"/>
      <x:c r="E23" s="20" t="str"/>
      <x:c r="F23" s="20" t="str"/>
      <x:c r="G23" s="20" t="str"/>
      <x:c r="H23" s="20" t="str"/>
      <x:c r="I23" s="20" t="str"/>
      <x:c r="J23" s="20" t="str"/>
    </x:row>
    <x:row r="24">
      <x:c r="A24" s="20" t="str">
        <x:v>Recent history</x:v>
      </x:c>
      <x:c r="B24" s="20" t="str">
        <x:v>Reference/report continuity only unless it represents an outstanding position at cutover</x:v>
      </x:c>
      <x:c r="C24" s="20" t="str"/>
      <x:c r="D24" s="20" t="str"/>
      <x:c r="E24" s="20" t="str"/>
      <x:c r="F24" s="20" t="str"/>
      <x:c r="G24" s="20" t="str"/>
      <x:c r="H24" s="20" t="str"/>
      <x:c r="I24" s="20" t="str"/>
      <x:c r="J24" s="20" t="str"/>
    </x:row>
  </x:sheetData>
  <x:mergeCells>
    <x:mergeCell ref="A1:J1"/>
    <x:mergeCell ref="A2:J2"/>
  </x:mergeCells>
  <x:dataValidations count="3">
    <x:dataValidation type="list" sqref="E5:E20">
      <x:formula1>"Good,Usable with cleanup,Poor,Unknown"</x:formula1>
    </x:dataValidation>
    <x:dataValidation type="list" sqref="F5:F20">
      <x:formula1>"Yes,No,Optional"</x:formula1>
    </x:dataValidation>
    <x:dataValidation type="list" sqref="G5:H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23f0e607b54ad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32" hidden="0" customWidth="1"/>
  </x:cols>
  <x:sheetData>
    <x:row r="1" ht="28" customHeight="1">
      <x:c r="A1" s="4" t="str">
        <x:v>Daily Station Reconciliation — Reference Form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Proposed digital replacement for the paper-to-Excel process. In the app this becomes a guided workflow, not one giant screen.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33" t="str">
        <x:v>Station</x:v>
      </x:c>
      <x:c r="B4" t="str"/>
      <x:c r="C4" s="33" t="str">
        <x:v>Business Date</x:v>
      </x:c>
      <x:c r="D4" t="str"/>
      <x:c r="E4" s="33" t="str">
        <x:v>Shift</x:v>
      </x:c>
      <x:c r="F4" t="str"/>
      <x:c r="G4" s="33" t="str">
        <x:v>Supervisor</x:v>
      </x:c>
      <x:c r="H4" t="str"/>
      <x:c r="I4" t="str"/>
    </x:row>
    <x:row r="5">
      <x:c r="A5" s="33" t="str">
        <x:v>Shift Start</x:v>
      </x:c>
      <x:c r="B5" t="str"/>
      <x:c r="C5" s="33" t="str">
        <x:v>Shift End</x:v>
      </x:c>
      <x:c r="D5" t="str"/>
      <x:c r="E5" s="33" t="str">
        <x:v>Status</x:v>
      </x:c>
      <x:c r="F5" t="str"/>
      <x:c r="G5" s="33" t="str">
        <x:v>Revision</x:v>
      </x:c>
      <x:c r="H5" t="str"/>
      <x:c r="I5" t="str"/>
    </x:row>
    <x:row r="6">
      <x:c r="A6" s="33" t="str">
        <x:v>Attendants</x:v>
      </x:c>
      <x:c r="B6" t="str"/>
      <x:c r="C6" t="str"/>
      <x:c r="D6" t="str"/>
      <x:c r="E6" t="str"/>
      <x:c r="F6" t="str"/>
      <x:c r="G6" t="str"/>
      <x:c r="H6" t="str"/>
      <x:c r="I6" t="str"/>
    </x:row>
    <x:row r="7">
      <x:c r="A7" s="33" t="str">
        <x:v>Opening Float</x:v>
      </x:c>
      <x:c r="B7" t="str"/>
      <x:c r="C7" s="33" t="str">
        <x:v>Currency</x:v>
      </x:c>
      <x:c r="D7" t="str">
        <x:v>USD</x:v>
      </x:c>
      <x:c r="E7" t="str"/>
      <x:c r="F7" t="str"/>
      <x:c r="G7" t="str"/>
      <x:c r="H7" t="str"/>
      <x:c r="I7" t="str"/>
    </x:row>
    <x:row r="8">
      <x:c r="A8" s="33" t="str">
        <x:v>Notes</x:v>
      </x:c>
      <x:c r="B8" t="str"/>
      <x:c r="C8" t="str"/>
      <x:c r="D8" t="str"/>
      <x:c r="E8" t="str"/>
      <x:c r="F8" t="str"/>
      <x:c r="G8" t="str"/>
      <x:c r="H8" t="str"/>
      <x:c r="I8" t="str"/>
    </x:row>
    <x:row r="10">
      <x:c r="A10" s="24" t="str">
        <x:v>Meter Sales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</x:row>
    <x:row r="11">
      <x:c r="A11" s="16" t="str">
        <x:v>Product</x:v>
      </x:c>
      <x:c r="B11" s="16" t="str">
        <x:v>Pump</x:v>
      </x:c>
      <x:c r="C11" s="16" t="str">
        <x:v>Nozzle</x:v>
      </x:c>
      <x:c r="D11" s="16" t="str">
        <x:v>Opening Meter</x:v>
      </x:c>
      <x:c r="E11" s="16" t="str">
        <x:v>Closing Meter</x:v>
      </x:c>
      <x:c r="F11" s="16" t="str">
        <x:v>Litres Sold</x:v>
      </x:c>
      <x:c r="G11" s="16" t="str">
        <x:v>Price/L</x:v>
      </x:c>
      <x:c r="H11" s="16" t="str">
        <x:v>Expected Sales</x:v>
      </x:c>
      <x:c r="I11" s="16" t="str">
        <x:v>Exception / Note</x:v>
      </x:c>
    </x:row>
    <x:row r="12">
      <x:c r="A12" t="str"/>
      <x:c r="B12" t="str"/>
      <x:c r="C12" t="str"/>
      <x:c r="D12" s="28" t="str"/>
      <x:c r="E12" s="28" t="str"/>
      <x:c r="F12" s="28" t="str">
        <x:f>IF(OR(D12="",E12=""),"",E12-D12)</x:f>
      </x:c>
      <x:c r="G12" s="28" t="str"/>
      <x:c r="H12" s="28" t="str">
        <x:f>IF(OR(F12="",G12=""),"",F12*G12)</x:f>
      </x:c>
      <x:c r="I12" t="str"/>
    </x:row>
    <x:row r="13">
      <x:c r="A13" t="str"/>
      <x:c r="B13" t="str"/>
      <x:c r="C13" t="str"/>
      <x:c r="D13" s="28" t="str"/>
      <x:c r="E13" s="28" t="str"/>
      <x:c r="F13" s="28" t="str">
        <x:f>IF(OR(D13="",E13=""),"",E13-D13)</x:f>
      </x:c>
      <x:c r="G13" s="28" t="str"/>
      <x:c r="H13" s="28" t="str">
        <x:f>IF(OR(F13="",G13=""),"",F13*G13)</x:f>
      </x:c>
      <x:c r="I13" t="str"/>
    </x:row>
    <x:row r="14">
      <x:c r="A14" t="str"/>
      <x:c r="B14" t="str"/>
      <x:c r="C14" t="str"/>
      <x:c r="D14" s="28" t="str"/>
      <x:c r="E14" s="28" t="str"/>
      <x:c r="F14" s="28" t="str">
        <x:f>IF(OR(D14="",E14=""),"",E14-D14)</x:f>
      </x:c>
      <x:c r="G14" s="28" t="str"/>
      <x:c r="H14" s="28" t="str">
        <x:f>IF(OR(F14="",G14=""),"",F14*G14)</x:f>
      </x:c>
      <x:c r="I14" t="str"/>
    </x:row>
    <x:row r="15">
      <x:c r="A15" t="str"/>
      <x:c r="B15" t="str"/>
      <x:c r="C15" t="str"/>
      <x:c r="D15" s="28" t="str"/>
      <x:c r="E15" s="28" t="str"/>
      <x:c r="F15" s="28" t="str">
        <x:f>IF(OR(D15="",E15=""),"",E15-D15)</x:f>
      </x:c>
      <x:c r="G15" s="28" t="str"/>
      <x:c r="H15" s="28" t="str">
        <x:f>IF(OR(F15="",G15=""),"",F15*G15)</x:f>
      </x:c>
      <x:c r="I15" t="str"/>
    </x:row>
    <x:row r="16">
      <x:c r="A16" t="str"/>
      <x:c r="B16" t="str"/>
      <x:c r="C16" t="str"/>
      <x:c r="D16" s="28" t="str"/>
      <x:c r="E16" s="28" t="str"/>
      <x:c r="F16" s="28" t="str">
        <x:f>IF(OR(D16="",E16=""),"",E16-D16)</x:f>
      </x:c>
      <x:c r="G16" s="28" t="str"/>
      <x:c r="H16" s="28" t="str">
        <x:f>IF(OR(F16="",G16=""),"",F16*G16)</x:f>
      </x:c>
      <x:c r="I16" t="str"/>
    </x:row>
    <x:row r="17">
      <x:c r="A17" t="str"/>
      <x:c r="B17" t="str"/>
      <x:c r="C17" t="str"/>
      <x:c r="D17" s="28" t="str"/>
      <x:c r="E17" s="28" t="str"/>
      <x:c r="F17" s="28" t="str">
        <x:f>IF(OR(D17="",E17=""),"",E17-D17)</x:f>
      </x:c>
      <x:c r="G17" s="28" t="str"/>
      <x:c r="H17" s="28" t="str">
        <x:f>IF(OR(F17="",G17=""),"",F17*G17)</x:f>
      </x:c>
      <x:c r="I17" t="str"/>
    </x:row>
    <x:row r="18">
      <x:c r="A18" t="str"/>
      <x:c r="B18" t="str"/>
      <x:c r="C18" t="str"/>
      <x:c r="D18" s="28" t="str"/>
      <x:c r="E18" s="28" t="str"/>
      <x:c r="F18" s="28" t="str">
        <x:f>IF(OR(D18="",E18=""),"",E18-D18)</x:f>
      </x:c>
      <x:c r="G18" s="28" t="str"/>
      <x:c r="H18" s="28" t="str">
        <x:f>IF(OR(F18="",G18=""),"",F18*G18)</x:f>
      </x:c>
      <x:c r="I18" t="str"/>
    </x:row>
    <x:row r="19">
      <x:c r="A19" t="str"/>
      <x:c r="B19" t="str"/>
      <x:c r="C19" t="str"/>
      <x:c r="D19" s="28" t="str"/>
      <x:c r="E19" s="28" t="str"/>
      <x:c r="F19" s="28" t="str">
        <x:f>IF(OR(D19="",E19=""),"",E19-D19)</x:f>
      </x:c>
      <x:c r="G19" s="28" t="str"/>
      <x:c r="H19" s="28" t="str">
        <x:f>IF(OR(F19="",G19=""),"",F19*G19)</x:f>
      </x:c>
      <x:c r="I19" t="str"/>
    </x:row>
    <x:row r="21">
      <x:c r="A21" s="16" t="str">
        <x:v>Payment / Classification</x:v>
      </x:c>
      <x:c r="B21" s="16" t="str">
        <x:v>Amount</x:v>
      </x:c>
      <x:c r="C21" s="16" t="str">
        <x:v>Source / Channel</x:v>
      </x:c>
      <x:c r="D21" s="16" t="str">
        <x:v>Note</x:v>
      </x:c>
      <x:c r="F21" s="16" t="str">
        <x:v>Reconciliation</x:v>
      </x:c>
      <x:c r="G21" s="16" t="str">
        <x:v>Amount</x:v>
      </x:c>
      <x:c r="H21" s="16" t="str"/>
      <x:c r="I21" s="16" t="str"/>
    </x:row>
    <x:row r="22">
      <x:c r="A22" t="str">
        <x:v>Cash</x:v>
      </x:c>
      <x:c r="B22" t="str"/>
      <x:c r="C22" t="str"/>
      <x:c r="D22" t="str"/>
      <x:c r="F22" t="str">
        <x:v>Expected Meter Sales</x:v>
      </x:c>
      <x:c r="G22" s="38" t="n">
        <x:f>SUM(H12:H19)</x:f>
        <x:v>0</x:v>
      </x:c>
    </x:row>
    <x:row r="23">
      <x:c r="A23" t="str">
        <x:v>POS</x:v>
      </x:c>
      <x:c r="B23" t="str"/>
      <x:c r="C23" t="str"/>
      <x:c r="D23" t="str"/>
      <x:c r="F23" t="str">
        <x:v>Total Accounted</x:v>
      </x:c>
      <x:c r="G23" s="38" t="n">
        <x:f>B31</x:f>
        <x:v>0</x:v>
      </x:c>
    </x:row>
    <x:row r="24">
      <x:c r="A24" t="str">
        <x:v>EcoCash</x:v>
      </x:c>
      <x:c r="B24" t="str"/>
      <x:c r="C24" t="str"/>
      <x:c r="D24" t="str"/>
      <x:c r="F24" t="str">
        <x:v>Variance</x:v>
      </x:c>
      <x:c r="G24" s="38" t="str">
        <x:f>IF(OR(G22="",G23=""),"",G23-G22)</x:f>
      </x:c>
    </x:row>
    <x:row r="25">
      <x:c r="A25" t="str">
        <x:v>Bank Transfer</x:v>
      </x:c>
      <x:c r="B25" t="str"/>
      <x:c r="C25" t="str"/>
      <x:c r="D25" t="str"/>
      <x:c r="F25" t="str">
        <x:v>Cash Count Variance</x:v>
      </x:c>
      <x:c r="G25" t="str"/>
    </x:row>
    <x:row r="26">
      <x:c r="A26" t="str">
        <x:v>Customer Credit</x:v>
      </x:c>
      <x:c r="B26" t="str"/>
      <x:c r="C26" t="str"/>
      <x:c r="D26" t="str"/>
      <x:c r="F26" t="str">
        <x:v>Stock Variance / Exception Count</x:v>
      </x:c>
      <x:c r="G26" t="str"/>
    </x:row>
    <x:row r="27">
      <x:c r="A27" t="str">
        <x:v>Prepaid Value</x:v>
      </x:c>
      <x:c r="B27" t="str"/>
      <x:c r="C27" t="str"/>
      <x:c r="D27" t="str"/>
    </x:row>
    <x:row r="28">
      <x:c r="A28" t="str">
        <x:v>Prepaid Litres / Value</x:v>
      </x:c>
      <x:c r="B28" t="str"/>
      <x:c r="C28" t="str"/>
      <x:c r="D28" t="str"/>
    </x:row>
    <x:row r="29">
      <x:c r="A29" t="str">
        <x:v>Benefit / Internal</x:v>
      </x:c>
      <x:c r="B29" t="str"/>
      <x:c r="C29" t="str"/>
      <x:c r="D29" t="str"/>
    </x:row>
    <x:row r="30">
      <x:c r="A30" t="str">
        <x:v>Other Approved</x:v>
      </x:c>
      <x:c r="B30" t="str"/>
      <x:c r="C30" t="str"/>
      <x:c r="D30" t="str"/>
    </x:row>
    <x:row r="31">
      <x:c r="A31" s="33" t="str">
        <x:v>Total Accounted</x:v>
      </x:c>
      <x:c r="B31" t="n">
        <x:f>SUM(B22:B30)</x:f>
        <x:v>0</x:v>
      </x:c>
      <x:c r="C31" t="str"/>
      <x:c r="D31" t="str"/>
    </x:row>
    <x:row r="34">
      <x:c r="A34" s="24" t="str">
        <x:v>Cash / Banking</x:v>
      </x:c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</x:row>
    <x:row r="35">
      <x:c r="A35" s="33" t="str">
        <x:v>Cash counted</x:v>
      </x:c>
      <x:c r="B35" t="str"/>
      <x:c r="C35" s="33" t="str">
        <x:v>Cash expenses</x:v>
      </x:c>
      <x:c r="D35" t="str"/>
      <x:c r="E35" s="33" t="str">
        <x:v>Customer cash receipts</x:v>
      </x:c>
      <x:c r="F35" t="str"/>
      <x:c r="G35" s="33" t="str">
        <x:v>Collections</x:v>
      </x:c>
      <x:c r="H35" t="str"/>
      <x:c r="I35" t="str"/>
    </x:row>
    <x:row r="36">
      <x:c r="A36" s="33" t="str">
        <x:v>Cash left at station</x:v>
      </x:c>
      <x:c r="B36" t="str"/>
      <x:c r="C36" s="33" t="str">
        <x:v>Cash handed over</x:v>
      </x:c>
      <x:c r="D36" t="str"/>
      <x:c r="E36" s="33" t="str">
        <x:v>Collector</x:v>
      </x:c>
      <x:c r="F36" t="str"/>
      <x:c r="G36" s="33" t="str">
        <x:v>Handover status</x:v>
      </x:c>
      <x:c r="H36" t="str"/>
      <x:c r="I36" t="str"/>
    </x:row>
    <x:row r="37">
      <x:c r="A37" s="33" t="str">
        <x:v>Bank deposit amount</x:v>
      </x:c>
      <x:c r="B37" t="str"/>
      <x:c r="C37" s="33" t="str">
        <x:v>Bank</x:v>
      </x:c>
      <x:c r="D37" t="str"/>
      <x:c r="E37" s="33" t="str">
        <x:v>Deposit reference</x:v>
      </x:c>
      <x:c r="F37" t="str"/>
      <x:c r="G37" s="33" t="str">
        <x:v>Bank status</x:v>
      </x:c>
      <x:c r="H37" t="str"/>
      <x:c r="I37" t="str"/>
    </x:row>
    <x:row r="38">
      <x:c r="A38" s="33" t="str">
        <x:v>Deposit proof</x:v>
      </x:c>
      <x:c r="B38" t="str"/>
      <x:c r="C38" t="str"/>
      <x:c r="D38" t="str"/>
      <x:c r="E38" t="str"/>
      <x:c r="F38" t="str"/>
      <x:c r="G38" t="str"/>
      <x:c r="H38" t="str"/>
      <x:c r="I38" t="str"/>
    </x:row>
    <x:row r="39">
      <x:c r="A39" s="33" t="str">
        <x:v>Cash explanation</x:v>
      </x:c>
      <x:c r="B39" t="str"/>
      <x:c r="C39" t="str"/>
      <x:c r="D39" t="str"/>
      <x:c r="E39" t="str"/>
      <x:c r="F39" t="str"/>
      <x:c r="G39" t="str"/>
      <x:c r="H39" t="str"/>
      <x:c r="I39" t="str"/>
    </x:row>
    <x:row r="41">
      <x:c r="A41" s="24" t="str">
        <x:v>Supervisor Attestation / Management Review</x:v>
      </x:c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</x:row>
    <x:row r="42">
      <x:c r="A42" s="33" t="str">
        <x:v>Supervisor explanation for variance</x:v>
      </x:c>
      <x:c r="B42" t="str"/>
      <x:c r="C42" t="str"/>
      <x:c r="D42" t="str"/>
      <x:c r="E42" t="str"/>
      <x:c r="F42" t="str"/>
      <x:c r="G42" t="str"/>
      <x:c r="H42" t="str"/>
      <x:c r="I42" t="str"/>
    </x:row>
    <x:row r="43">
      <x:c r="A43" s="33" t="str">
        <x:v>Evidence attached?</x:v>
      </x:c>
      <x:c r="B43" t="str"/>
      <x:c r="C43" t="str"/>
      <x:c r="D43" t="str"/>
      <x:c r="E43" t="str"/>
      <x:c r="F43" t="str"/>
      <x:c r="G43" t="str"/>
      <x:c r="H43" t="str"/>
      <x:c r="I43" t="str"/>
    </x:row>
    <x:row r="44">
      <x:c r="A44" s="33" t="str">
        <x:v>Submitted by / at</x:v>
      </x:c>
      <x:c r="B44" t="str"/>
      <x:c r="C44" t="str"/>
      <x:c r="D44" t="str"/>
      <x:c r="E44" t="str"/>
      <x:c r="F44" t="str"/>
      <x:c r="G44" t="str"/>
      <x:c r="H44" t="str"/>
      <x:c r="I44" t="str"/>
    </x:row>
    <x:row r="45">
      <x:c r="A45" s="33" t="str">
        <x:v>Management decision</x:v>
      </x:c>
      <x:c r="B45" t="str"/>
      <x:c r="C45" s="33" t="str">
        <x:v>Approve / Return / Reject</x:v>
      </x:c>
      <x:c r="D45" t="str"/>
      <x:c r="E45" t="str"/>
      <x:c r="F45" t="str"/>
      <x:c r="G45" t="str"/>
      <x:c r="H45" t="str"/>
      <x:c r="I45" t="str"/>
    </x:row>
    <x:row r="46">
      <x:c r="A46" s="33" t="str">
        <x:v>Management comment / approval</x:v>
      </x:c>
      <x:c r="B46" t="str"/>
      <x:c r="C46" t="str"/>
      <x:c r="D46" t="str"/>
      <x:c r="E46" t="str"/>
      <x:c r="F46" t="str"/>
      <x:c r="G46" t="str"/>
      <x:c r="H46" t="str"/>
      <x:c r="I46" t="str"/>
    </x:row>
    <x:row r="48">
      <x:c r="A48" s="42" t="str">
        <x:v>System rule</x:v>
      </x:c>
      <x:c r="B48" s="20" t="str">
        <x:v>Meter-derived litres are canonical for ordinary forecourt sales.</x:v>
      </x:c>
      <x:c r="C48" s="20" t="str"/>
      <x:c r="D48" s="20" t="str"/>
      <x:c r="E48" s="20" t="str"/>
      <x:c r="F48" s="20" t="str"/>
      <x:c r="G48" s="20" t="str"/>
      <x:c r="H48" s="20" t="str"/>
      <x:c r="I48" s="20" t="str"/>
    </x:row>
    <x:row r="49">
      <x:c r="A49" s="42" t="str">
        <x:v>System rule</x:v>
      </x:c>
      <x:c r="B49" s="20" t="str">
        <x:v>Customer credit/prepaid/benefit transactions explain part of meter sales and must not add duplicate litres/revenue.</x:v>
      </x:c>
      <x:c r="C49" s="20" t="str"/>
      <x:c r="D49" s="20" t="str"/>
      <x:c r="E49" s="20" t="str"/>
      <x:c r="F49" s="20" t="str"/>
      <x:c r="G49" s="20" t="str"/>
      <x:c r="H49" s="20" t="str"/>
      <x:c r="I49" s="20" t="str"/>
    </x:row>
    <x:row r="50">
      <x:c r="A50" s="42" t="str">
        <x:v>System rule</x:v>
      </x:c>
      <x:c r="B50" s="20" t="str">
        <x:v>Approved/posted records are corrected through controlled adjustments/reversals, not Delete.</x:v>
      </x:c>
      <x:c r="C50" s="20" t="str"/>
      <x:c r="D50" s="20" t="str"/>
      <x:c r="E50" s="20" t="str"/>
      <x:c r="F50" s="20" t="str"/>
      <x:c r="G50" s="20" t="str"/>
      <x:c r="H50" s="20" t="str"/>
      <x:c r="I50" s="20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20" hidden="0" customWidth="1"/>
    <x:col min="10" max="10" width="30" hidden="0" customWidth="1"/>
  </x:cols>
  <x:sheetData>
    <x:row r="1" ht="28" customHeight="1">
      <x:c r="A1" s="4" t="str">
        <x:v>Fuel Delivery Receipt — Reference Form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Supports multi-product/multi-compartment deliveries, pre/post dips, safety checks, partial receipt and physical vs commercial variance.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33" t="str">
        <x:v>Station</x:v>
      </x:c>
      <x:c r="B4" t="str"/>
      <x:c r="C4" s="33" t="str">
        <x:v>Supplier</x:v>
      </x:c>
      <x:c r="D4" t="str"/>
      <x:c r="E4" s="33" t="str">
        <x:v>Delivery Note</x:v>
      </x:c>
      <x:c r="F4" t="str"/>
      <x:c r="G4" s="33" t="str">
        <x:v>Arrival Time</x:v>
      </x:c>
      <x:c r="H4" t="str"/>
      <x:c r="I4" t="str"/>
      <x:c r="J4" t="str"/>
    </x:row>
    <x:row r="5">
      <x:c r="A5" s="33" t="str">
        <x:v>Transporter</x:v>
      </x:c>
      <x:c r="B5" t="str"/>
      <x:c r="C5" s="33" t="str">
        <x:v>Truck Reg</x:v>
      </x:c>
      <x:c r="D5" t="str"/>
      <x:c r="E5" s="33" t="str">
        <x:v>Driver</x:v>
      </x:c>
      <x:c r="F5" t="str"/>
      <x:c r="G5" s="33" t="str">
        <x:v>Status</x:v>
      </x:c>
      <x:c r="H5" t="str"/>
      <x:c r="I5" t="str"/>
      <x:c r="J5" t="str"/>
    </x:row>
    <x:row r="6">
      <x:c r="A6" s="33" t="str">
        <x:v>Product</x:v>
      </x:c>
      <x:c r="B6" t="str"/>
      <x:c r="C6" s="33" t="str">
        <x:v>Delivery-note Qty (L)</x:v>
      </x:c>
      <x:c r="D6" t="str"/>
      <x:c r="E6" s="33" t="str">
        <x:v>Planned Tank</x:v>
      </x:c>
      <x:c r="F6" t="str"/>
      <x:c r="G6" s="33" t="str">
        <x:v>Currency</x:v>
      </x:c>
      <x:c r="H6" t="str">
        <x:v>USD</x:v>
      </x:c>
      <x:c r="I6" t="str"/>
      <x:c r="J6" t="str"/>
    </x:row>
    <x:row r="7">
      <x:c r="A7" s="33" t="str">
        <x:v>Offload Start</x:v>
      </x:c>
      <x:c r="B7" t="str"/>
      <x:c r="C7" s="33" t="str">
        <x:v>Offload End</x:v>
      </x:c>
      <x:c r="D7" t="str"/>
      <x:c r="E7" s="33" t="str">
        <x:v>Interrupted?</x:v>
      </x:c>
      <x:c r="F7" t="str"/>
      <x:c r="G7" s="33" t="str">
        <x:v>Partial Receipt?</x:v>
      </x:c>
      <x:c r="H7" t="str"/>
      <x:c r="I7" t="str"/>
      <x:c r="J7" t="str"/>
    </x:row>
    <x:row r="8">
      <x:c r="A8" s="33" t="str">
        <x:v>Evidence</x:v>
      </x:c>
      <x:c r="B8" t="str">
        <x:v>Delivery note/photo</x:v>
      </x:c>
      <x:c r="C8" t="str"/>
      <x:c r="D8" t="str"/>
      <x:c r="E8" t="str"/>
      <x:c r="F8" t="str"/>
      <x:c r="G8" t="str"/>
      <x:c r="H8" t="str"/>
      <x:c r="I8" t="str"/>
      <x:c r="J8" t="str"/>
    </x:row>
    <x:row r="10">
      <x:c r="A10" s="24" t="str">
        <x:v>Verification Checks</x:v>
      </x:c>
      <x:c r="B10" s="24" t="str"/>
      <x:c r="C10" s="24" t="str"/>
      <x:c r="D10" s="24" t="str"/>
      <x:c r="E10" s="24" t="str"/>
      <x:c r="F10" s="24" t="str">
        <x:v>Receipt Calculation</x:v>
      </x:c>
      <x:c r="G10" s="24" t="str"/>
      <x:c r="H10" s="24" t="str"/>
      <x:c r="I10" s="24" t="str"/>
      <x:c r="J10" s="24" t="str"/>
    </x:row>
    <x:row r="11">
      <x:c r="A11" s="16" t="str">
        <x:v>Check</x:v>
      </x:c>
      <x:c r="B11" s="16" t="str">
        <x:v>Result</x:v>
      </x:c>
      <x:c r="C11" s="16" t="str">
        <x:v>Evidence / Value</x:v>
      </x:c>
      <x:c r="D11" s="16" t="str">
        <x:v>Note</x:v>
      </x:c>
      <x:c r="F11" t="str">
        <x:v>Delivery-note Qty (L)</x:v>
      </x:c>
      <x:c r="G11" s="28" t="str"/>
    </x:row>
    <x:row r="12">
      <x:c r="A12" t="str">
        <x:v>Delivery note present</x:v>
      </x:c>
      <x:c r="B12" t="str"/>
      <x:c r="C12" t="str"/>
      <x:c r="D12" t="str"/>
      <x:c r="F12" t="str">
        <x:v>Pre-dip volume (L)</x:v>
      </x:c>
      <x:c r="G12" s="28" t="str"/>
    </x:row>
    <x:row r="13">
      <x:c r="A13" t="str">
        <x:v>Product match</x:v>
      </x:c>
      <x:c r="B13" t="str"/>
      <x:c r="C13" t="str"/>
      <x:c r="D13" t="str"/>
      <x:c r="F13" t="str">
        <x:v>Post-dip volume (L)</x:v>
      </x:c>
      <x:c r="G13" s="28" t="str"/>
    </x:row>
    <x:row r="14">
      <x:c r="A14" t="str">
        <x:v>Seal check</x:v>
      </x:c>
      <x:c r="B14" t="str"/>
      <x:c r="C14" t="str"/>
      <x:c r="D14" t="str"/>
      <x:c r="F14" t="str">
        <x:v>Sales during offload (L)</x:v>
      </x:c>
      <x:c r="G14" s="28" t="str"/>
    </x:row>
    <x:row r="15">
      <x:c r="A15" t="str">
        <x:v>Water test</x:v>
      </x:c>
      <x:c r="B15" t="str"/>
      <x:c r="C15" t="str"/>
      <x:c r="D15" t="str"/>
      <x:c r="F15" t="str">
        <x:v>Dip-implied receipt (L)</x:v>
      </x:c>
      <x:c r="G15" s="28" t="str">
        <x:f>IF(OR(G12="",G13=""),"",G13-G12+IF(G14="",0,G14))</x:f>
      </x:c>
    </x:row>
    <x:row r="16">
      <x:c r="A16" t="str">
        <x:v>Tank capacity / safe fill</x:v>
      </x:c>
      <x:c r="B16" t="str"/>
      <x:c r="C16" t="str"/>
      <x:c r="D16" t="str"/>
      <x:c r="F16" t="str">
        <x:v>Accepted receipt (L)</x:v>
      </x:c>
      <x:c r="G16" s="28" t="str"/>
    </x:row>
    <x:row r="17">
      <x:c r="A17" t="str">
        <x:v>Pre-delivery dip</x:v>
      </x:c>
      <x:c r="B17" t="str"/>
      <x:c r="C17" t="str"/>
      <x:c r="D17" t="str"/>
      <x:c r="F17" t="str">
        <x:v>Delivery variance (L)</x:v>
      </x:c>
      <x:c r="G17" s="28" t="str">
        <x:f>IF(OR(G11="",G16=""),"",G16-G11)</x:f>
      </x:c>
    </x:row>
    <x:row r="18">
      <x:c r="A18" t="str">
        <x:v>Driver confirmation</x:v>
      </x:c>
      <x:c r="B18" t="str"/>
      <x:c r="C18" t="str"/>
      <x:c r="D18" t="str"/>
    </x:row>
    <x:row r="20">
      <x:c r="A20" s="24" t="str">
        <x:v>Tank Allocation</x:v>
      </x:c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/>
      <x:c r="J20" s="24" t="str"/>
    </x:row>
    <x:row r="21">
      <x:c r="A21" s="16" t="str">
        <x:v>Tank</x:v>
      </x:c>
      <x:c r="B21" s="16" t="str">
        <x:v>Product</x:v>
      </x:c>
      <x:c r="C21" s="16" t="str">
        <x:v>Planned L</x:v>
      </x:c>
      <x:c r="D21" s="16" t="str">
        <x:v>Pre Dip L</x:v>
      </x:c>
      <x:c r="E21" s="16" t="str">
        <x:v>Post Dip L</x:v>
      </x:c>
      <x:c r="F21" s="16" t="str">
        <x:v>Accepted L</x:v>
      </x:c>
      <x:c r="G21" s="16" t="str">
        <x:v>Inventory Pool</x:v>
      </x:c>
      <x:c r="H21" s="16" t="str">
        <x:v>Shortage/Excess</x:v>
      </x:c>
      <x:c r="I21" s="16" t="str">
        <x:v>Supervisor</x:v>
      </x:c>
      <x:c r="J21" s="16" t="str">
        <x:v>Note</x:v>
      </x:c>
    </x:row>
    <x:row r="22">
      <x:c r="A22" t="str"/>
      <x:c r="B22" t="str"/>
      <x:c r="C22" s="28" t="str"/>
      <x:c r="D22" s="28" t="str"/>
      <x:c r="E22" s="28" t="str"/>
      <x:c r="F22" s="28" t="str"/>
      <x:c r="G22" s="28" t="str"/>
      <x:c r="H22" s="28" t="str">
        <x:f>IF(OR(C22="",F22=""),"",F22-C22)</x:f>
      </x:c>
      <x:c r="I22" t="str"/>
      <x:c r="J22" t="str"/>
    </x:row>
    <x:row r="23">
      <x:c r="A23" t="str"/>
      <x:c r="B23" t="str"/>
      <x:c r="C23" s="28" t="str"/>
      <x:c r="D23" s="28" t="str"/>
      <x:c r="E23" s="28" t="str"/>
      <x:c r="F23" s="28" t="str"/>
      <x:c r="G23" s="28" t="str"/>
      <x:c r="H23" s="28" t="str">
        <x:f>IF(OR(C23="",F23=""),"",F23-C23)</x:f>
      </x:c>
      <x:c r="I23" t="str"/>
      <x:c r="J23" t="str"/>
    </x:row>
    <x:row r="24">
      <x:c r="A24" t="str"/>
      <x:c r="B24" t="str"/>
      <x:c r="C24" s="28" t="str"/>
      <x:c r="D24" s="28" t="str"/>
      <x:c r="E24" s="28" t="str"/>
      <x:c r="F24" s="28" t="str"/>
      <x:c r="G24" s="28" t="str"/>
      <x:c r="H24" s="28" t="str">
        <x:f>IF(OR(C24="",F24=""),"",F24-C24)</x:f>
      </x:c>
      <x:c r="I24" t="str"/>
      <x:c r="J24" t="str"/>
    </x:row>
    <x:row r="25">
      <x:c r="A25" t="str"/>
      <x:c r="B25" t="str"/>
      <x:c r="C25" s="28" t="str"/>
      <x:c r="D25" s="28" t="str"/>
      <x:c r="E25" s="28" t="str"/>
      <x:c r="F25" s="28" t="str"/>
      <x:c r="G25" s="28" t="str"/>
      <x:c r="H25" s="28" t="str">
        <x:f>IF(OR(C25="",F25=""),"",F25-C25)</x:f>
      </x:c>
      <x:c r="I25" t="str"/>
      <x:c r="J25" t="str"/>
    </x:row>
    <x:row r="26">
      <x:c r="A26" t="str"/>
      <x:c r="B26" t="str"/>
      <x:c r="C26" s="28" t="str"/>
      <x:c r="D26" s="28" t="str"/>
      <x:c r="E26" s="28" t="str"/>
      <x:c r="F26" s="28" t="str"/>
      <x:c r="G26" s="28" t="str"/>
      <x:c r="H26" s="28" t="str">
        <x:f>IF(OR(C26="",F26=""),"",F26-C26)</x:f>
      </x:c>
      <x:c r="I26" t="str"/>
      <x:c r="J26" t="str"/>
    </x:row>
    <x:row r="27">
      <x:c r="A27" t="str"/>
      <x:c r="B27" t="str"/>
      <x:c r="C27" s="28" t="str"/>
      <x:c r="D27" s="28" t="str"/>
      <x:c r="E27" s="28" t="str"/>
      <x:c r="F27" s="28" t="str"/>
      <x:c r="G27" s="28" t="str"/>
      <x:c r="H27" s="28" t="str">
        <x:f>IF(OR(C27="",F27=""),"",F27-C27)</x:f>
      </x:c>
      <x:c r="I27" t="str"/>
      <x:c r="J27" t="str"/>
    </x:row>
    <x:row r="30">
      <x:c r="A30" s="42" t="str">
        <x:v>Posting rule</x:v>
      </x:c>
      <x:c r="B30" s="20" t="str">
        <x:v>Accepted physical quantity is derived from accepted tank allocations, not the supplier invoice quantity.</x:v>
      </x:c>
      <x:c r="C30" s="20" t="str"/>
      <x:c r="D30" s="20" t="str"/>
      <x:c r="E30" s="20" t="str"/>
      <x:c r="F30" s="20" t="str"/>
      <x:c r="G30" s="20" t="str"/>
      <x:c r="H30" s="20" t="str"/>
      <x:c r="I30" s="20" t="str"/>
      <x:c r="J30" s="20" t="str"/>
    </x:row>
    <x:row r="31">
      <x:c r="A31" s="42" t="str">
        <x:v>Cost rule</x:v>
      </x:c>
      <x:c r="B31" s="20" t="str">
        <x:v>Quantity may post with provisional cost; later final transport/direct cost creates explicit revaluation.</x:v>
      </x:c>
      <x:c r="C31" s="20" t="str"/>
      <x:c r="D31" s="20" t="str"/>
      <x:c r="E31" s="20" t="str"/>
      <x:c r="F31" s="20" t="str"/>
      <x:c r="G31" s="20" t="str"/>
      <x:c r="H31" s="20" t="str"/>
      <x:c r="I31" s="20" t="str"/>
      <x:c r="J31" s="20" t="str"/>
    </x:row>
    <x:row r="32">
      <x:c r="A32" s="42" t="str">
        <x:v>Safety rule</x:v>
      </x:c>
      <x:c r="B32" s="20" t="str">
        <x:v>Wrong-product or unsafe condition can quarantine the affected tank/pool.</x:v>
      </x:c>
      <x:c r="C32" s="20" t="str"/>
      <x:c r="D32" s="20" t="str"/>
      <x:c r="E32" s="20" t="str"/>
      <x:c r="F32" s="20" t="str"/>
      <x:c r="G32" s="20" t="str"/>
      <x:c r="H32" s="20" t="str"/>
      <x:c r="I32" s="20" t="str"/>
      <x:c r="J32" s="20" t="str"/>
    </x:row>
    <x:row r="33">
      <x:c r="A33" s="42" t="str">
        <x:v>Correction rule</x:v>
      </x:c>
      <x:c r="B33" s="20" t="str">
        <x:v>Posted delivery corrections use controlled reversal/adjustment; no silent edits.</x:v>
      </x:c>
      <x:c r="C33" s="20" t="str"/>
      <x:c r="D33" s="20" t="str"/>
      <x:c r="E33" s="20" t="str"/>
      <x:c r="F33" s="20" t="str"/>
      <x:c r="G33" s="20" t="str"/>
      <x:c r="H33" s="20" t="str"/>
      <x:c r="I33" s="20" t="str"/>
      <x:c r="J33" s="20" t="str"/>
    </x:row>
  </x:sheetData>
  <x:mergeCells>
    <x:mergeCell ref="A1:J1"/>
    <x:mergeCell ref="A2:J2"/>
  </x:mergeCells>
  <x:dataValidations count="1">
    <x:dataValidation type="list" sqref="B12:B18">
      <x:formula1>"PASS,FAIL,NOT REQUIRED,NOT PERFORMED"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26" hidden="0" customWidth="1"/>
    <x:col min="8" max="8" width="18" hidden="0" customWidth="1"/>
    <x:col min="9" max="9" width="30" hidden="0" customWidth="1"/>
  </x:cols>
  <x:sheetData>
    <x:row r="1" ht="28" customHeight="1">
      <x:c r="A1" s="4" t="str">
        <x:v>Cash Handover / Collection — Reference Form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Cash custody is tracked separately from bank money. A disputed difference is represented exactly once in transit/dispute custody.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33" t="str">
        <x:v>Station</x:v>
      </x:c>
      <x:c r="B4" t="str"/>
      <x:c r="C4" s="33" t="str">
        <x:v>Business Date</x:v>
      </x:c>
      <x:c r="D4" t="str"/>
      <x:c r="E4" s="33" t="str">
        <x:v>Collection Ref</x:v>
      </x:c>
      <x:c r="F4" t="str"/>
      <x:c r="G4" s="33" t="str">
        <x:v>Currency</x:v>
      </x:c>
      <x:c r="H4" t="str">
        <x:v>USD</x:v>
      </x:c>
      <x:c r="I4" t="str"/>
    </x:row>
    <x:row r="5">
      <x:c r="A5" s="33" t="str">
        <x:v>From Location</x:v>
      </x:c>
      <x:c r="B5" t="str"/>
      <x:c r="C5" s="33" t="str">
        <x:v>Sender</x:v>
      </x:c>
      <x:c r="D5" t="str"/>
      <x:c r="E5" s="33" t="str">
        <x:v>To Location</x:v>
      </x:c>
      <x:c r="F5" t="str"/>
      <x:c r="G5" s="33" t="str">
        <x:v>Receiver / Collector</x:v>
      </x:c>
      <x:c r="H5" t="str"/>
      <x:c r="I5" t="str"/>
    </x:row>
    <x:row r="6">
      <x:c r="A6" s="33" t="str">
        <x:v>Expected Available Cash</x:v>
      </x:c>
      <x:c r="B6" t="str"/>
      <x:c r="C6" s="33" t="str">
        <x:v>Required Float</x:v>
      </x:c>
      <x:c r="D6" t="str"/>
      <x:c r="E6" s="33" t="str">
        <x:v>Suggested Collection</x:v>
      </x:c>
      <x:c r="F6" t="str"/>
      <x:c r="G6" t="str"/>
      <x:c r="H6" t="str"/>
      <x:c r="I6" t="str"/>
    </x:row>
    <x:row r="7">
      <x:c r="A7" s="33" t="str">
        <x:v>Sender Declared Amount</x:v>
      </x:c>
      <x:c r="B7" t="str"/>
      <x:c r="C7" s="33" t="str">
        <x:v>Receiver Counted Amount</x:v>
      </x:c>
      <x:c r="D7" t="str"/>
      <x:c r="E7" s="33" t="str">
        <x:v>Difference</x:v>
      </x:c>
      <x:c r="F7" t="str">
        <x:f>IF(OR(B7="",D7=""),"",D7-B7)</x:f>
      </x:c>
      <x:c r="G7" t="str"/>
      <x:c r="H7" t="str"/>
      <x:c r="I7" t="str"/>
    </x:row>
    <x:row r="8">
      <x:c r="A8" s="33" t="str">
        <x:v>Bag / Seal Ref</x:v>
      </x:c>
      <x:c r="B8" t="str"/>
      <x:c r="C8" s="33" t="str">
        <x:v>Prepared At</x:v>
      </x:c>
      <x:c r="D8" t="str"/>
      <x:c r="E8" s="33" t="str">
        <x:v>Sender Confirmed At</x:v>
      </x:c>
      <x:c r="F8" t="str"/>
      <x:c r="G8" s="33" t="str">
        <x:v>Receiver Confirmed At</x:v>
      </x:c>
      <x:c r="H8" t="str"/>
      <x:c r="I8" t="str"/>
    </x:row>
    <x:row r="9">
      <x:c r="A9" s="33" t="str">
        <x:v>Handover Status</x:v>
      </x:c>
      <x:c r="B9" t="str"/>
      <x:c r="C9" t="str"/>
      <x:c r="D9" t="str"/>
      <x:c r="E9" t="str"/>
      <x:c r="F9" t="str"/>
      <x:c r="G9" t="str"/>
      <x:c r="H9" t="str"/>
      <x:c r="I9" t="str"/>
    </x:row>
    <x:row r="10">
      <x:c r="A10" s="33" t="str">
        <x:v>Notes / Reason</x:v>
      </x:c>
      <x:c r="B10" t="str"/>
      <x:c r="C10" t="str"/>
      <x:c r="D10" t="str"/>
      <x:c r="E10" t="str"/>
      <x:c r="F10" t="str"/>
      <x:c r="G10" t="str"/>
      <x:c r="H10" t="str"/>
      <x:c r="I10" t="str"/>
    </x:row>
    <x:row r="12">
      <x:c r="A12" s="24" t="str">
        <x:v>Custody Result</x:v>
      </x:c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</x:row>
    <x:row r="13">
      <x:c r="A13" s="16" t="str">
        <x:v>Result</x:v>
      </x:c>
      <x:c r="B13" s="16" t="str">
        <x:v>Amount</x:v>
      </x:c>
      <x:c r="C13" s="16" t="str">
        <x:v>Meaning</x:v>
      </x:c>
    </x:row>
    <x:row r="14">
      <x:c r="A14" t="str">
        <x:v>Source custody decrease</x:v>
      </x:c>
      <x:c r="B14" t="str"/>
      <x:c r="C14" t="str">
        <x:v>Confirmed sender release</x:v>
      </x:c>
    </x:row>
    <x:row r="15">
      <x:c r="A15" t="str">
        <x:v>Receiver custody</x:v>
      </x:c>
      <x:c r="B15" t="str"/>
      <x:c r="C15" t="str">
        <x:v>Amount acknowledged by receiver</x:v>
      </x:c>
    </x:row>
    <x:row r="16">
      <x:c r="A16" t="str">
        <x:v>Dispute custody</x:v>
      </x:c>
      <x:c r="B16" t="str"/>
      <x:c r="C16" t="str">
        <x:v>Difference under investigation</x:v>
      </x:c>
    </x:row>
    <x:row r="17">
      <x:c r="A17" t="str">
        <x:v>Total represented</x:v>
      </x:c>
      <x:c r="B17" t="n">
        <x:f>SUM(B15:B16)</x:f>
        <x:v>0</x:v>
      </x:c>
      <x:c r="C17" t="str">
        <x:v>Must equal sender-confirmed amount</x:v>
      </x:c>
    </x:row>
    <x:row r="19">
      <x:c r="A19" s="42" t="str">
        <x:v>Invariant</x:v>
      </x:c>
      <x:c r="B19" s="20" t="str">
        <x:v>Cash collected is not automatically cash banked.</x:v>
      </x:c>
      <x:c r="C19" s="20" t="str"/>
      <x:c r="D19" s="20" t="str"/>
      <x:c r="E19" s="20" t="str"/>
      <x:c r="F19" s="20" t="str"/>
      <x:c r="G19" s="20" t="str"/>
      <x:c r="H19" s="20" t="str"/>
      <x:c r="I19" s="20" t="str"/>
    </x:row>
    <x:row r="20">
      <x:c r="A20" s="42" t="str">
        <x:v>Invariant</x:v>
      </x:c>
      <x:c r="B20" s="20" t="str">
        <x:v>Confirmed cash movements are never edited; corrections are compensating events.</x:v>
      </x:c>
      <x:c r="C20" s="20" t="str"/>
      <x:c r="D20" s="20" t="str"/>
      <x:c r="E20" s="20" t="str"/>
      <x:c r="F20" s="20" t="str"/>
      <x:c r="G20" s="20" t="str"/>
      <x:c r="H20" s="20" t="str"/>
      <x:c r="I20" s="20" t="str"/>
    </x:row>
    <x:row r="21">
      <x:c r="A21" s="42" t="str">
        <x:v>Default</x:v>
      </x:c>
      <x:c r="B21" s="20" t="str">
        <x:v>Dual acknowledgement for significant handovers; configurable.</x:v>
      </x:c>
      <x:c r="C21" s="20" t="str"/>
      <x:c r="D21" s="20" t="str"/>
      <x:c r="E21" s="20" t="str"/>
      <x:c r="F21" s="20" t="str"/>
      <x:c r="G21" s="20" t="str"/>
      <x:c r="H21" s="20" t="str"/>
      <x:c r="I21" s="20" t="str"/>
    </x:row>
    <x:row r="22">
      <x:c r="A22" s="42" t="str">
        <x:v>Alert</x:v>
      </x:c>
      <x:c r="B22" s="20" t="str">
        <x:v>Unbanked cash warning 24h; urgent 48h as provisional pilot defaults.</x:v>
      </x:c>
      <x:c r="C22" s="20" t="str"/>
      <x:c r="D22" s="20" t="str"/>
      <x:c r="E22" s="20" t="str"/>
      <x:c r="F22" s="20" t="str"/>
      <x:c r="G22" s="20" t="str"/>
      <x:c r="H22" s="20" t="str"/>
      <x:c r="I22" s="20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0" hidden="0" customWidth="1"/>
    <x:col min="5" max="5" width="22" hidden="0" customWidth="1"/>
    <x:col min="6" max="6" width="18" hidden="0" customWidth="1"/>
    <x:col min="7" max="7" width="22" hidden="0" customWidth="1"/>
    <x:col min="8" max="8" width="18" hidden="0" customWidth="1"/>
    <x:col min="9" max="9" width="30" hidden="0" customWidth="1"/>
  </x:cols>
  <x:sheetData>
    <x:row r="1" ht="28" customHeight="1">
      <x:c r="A1" s="4" t="str">
        <x:v>Station Expense — Reference Form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Economic expense recognition and payment source are separate. Paying cash before approval does not make physical cash reappear if the expense is later disputed.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33" t="str">
        <x:v>Station</x:v>
      </x:c>
      <x:c r="B4" t="str"/>
      <x:c r="C4" s="33" t="str">
        <x:v>Business Date</x:v>
      </x:c>
      <x:c r="D4" t="str"/>
      <x:c r="E4" s="33" t="str">
        <x:v>Expense Ref</x:v>
      </x:c>
      <x:c r="F4" t="str"/>
      <x:c r="G4" s="33" t="str">
        <x:v>Currency</x:v>
      </x:c>
      <x:c r="H4" t="str">
        <x:v>USD</x:v>
      </x:c>
      <x:c r="I4" t="str"/>
    </x:row>
    <x:row r="5">
      <x:c r="A5" s="33" t="str">
        <x:v>Category</x:v>
      </x:c>
      <x:c r="B5" t="str"/>
      <x:c r="C5" s="33" t="str">
        <x:v>Description</x:v>
      </x:c>
      <x:c r="D5" t="str"/>
      <x:c r="E5" t="str"/>
      <x:c r="F5" t="str"/>
      <x:c r="G5" t="str"/>
      <x:c r="H5" t="str"/>
      <x:c r="I5" t="str"/>
    </x:row>
    <x:row r="6">
      <x:c r="A6" s="33" t="str">
        <x:v>Amount</x:v>
      </x:c>
      <x:c r="B6" t="str"/>
      <x:c r="C6" s="33" t="str">
        <x:v>Payment Source</x:v>
      </x:c>
      <x:c r="D6" t="str"/>
      <x:c r="E6" s="33" t="str">
        <x:v>Payee</x:v>
      </x:c>
      <x:c r="F6" t="str"/>
      <x:c r="G6" t="str"/>
      <x:c r="H6" t="str"/>
      <x:c r="I6" t="str"/>
    </x:row>
    <x:row r="7">
      <x:c r="A7" s="33" t="str">
        <x:v>Receipt Required?</x:v>
      </x:c>
      <x:c r="B7" t="str"/>
      <x:c r="C7" s="33" t="str">
        <x:v>Receipt / Evidence</x:v>
      </x:c>
      <x:c r="D7" t="str"/>
      <x:c r="E7" t="str"/>
      <x:c r="F7" t="str"/>
      <x:c r="G7" t="str"/>
      <x:c r="H7" t="str"/>
      <x:c r="I7" t="str"/>
    </x:row>
    <x:row r="8">
      <x:c r="A8" s="33" t="str">
        <x:v>Created By</x:v>
      </x:c>
      <x:c r="B8" t="str"/>
      <x:c r="C8" s="33" t="str">
        <x:v>Submitted By</x:v>
      </x:c>
      <x:c r="D8" t="str"/>
      <x:c r="E8" s="33" t="str">
        <x:v>Approved By</x:v>
      </x:c>
      <x:c r="F8" t="str"/>
      <x:c r="G8" t="str"/>
      <x:c r="H8" t="str"/>
      <x:c r="I8" t="str"/>
    </x:row>
    <x:row r="9">
      <x:c r="A9" s="33" t="str">
        <x:v>Status</x:v>
      </x:c>
      <x:c r="B9" t="str"/>
      <x:c r="C9" s="33" t="str">
        <x:v>Classification</x:v>
      </x:c>
      <x:c r="D9" t="str"/>
      <x:c r="E9" t="str"/>
      <x:c r="F9" t="str"/>
      <x:c r="G9" t="str"/>
      <x:c r="H9" t="str"/>
      <x:c r="I9" t="str"/>
    </x:row>
    <x:row r="10">
      <x:c r="A10" s="33" t="str">
        <x:v>Approval Threshold</x:v>
      </x:c>
      <x:c r="B10" t="str"/>
      <x:c r="C10" s="33" t="str">
        <x:v>Step-Up Required?</x:v>
      </x:c>
      <x:c r="D10" t="str"/>
      <x:c r="E10" t="str"/>
      <x:c r="F10" t="str"/>
      <x:c r="G10" t="str"/>
      <x:c r="H10" t="str"/>
      <x:c r="I10" t="str"/>
    </x:row>
    <x:row r="11">
      <x:c r="A11" s="33" t="str">
        <x:v>Reason / Notes</x:v>
      </x:c>
      <x:c r="B11" t="str"/>
      <x:c r="C11" s="33" t="str"/>
      <x:c r="D11" t="str"/>
      <x:c r="E11" t="str"/>
      <x:c r="F11" t="str"/>
      <x:c r="G11" t="str"/>
      <x:c r="H11" t="str"/>
      <x:c r="I11" t="str"/>
    </x:row>
    <x:row r="12">
      <x:c r="A12" s="33" t="str">
        <x:v>Posting Result</x:v>
      </x:c>
      <x:c r="B12" t="str"/>
      <x:c r="C12" t="str"/>
      <x:c r="D12" t="str"/>
      <x:c r="E12" t="str"/>
      <x:c r="F12" t="str"/>
      <x:c r="G12" t="str"/>
      <x:c r="H12" t="str"/>
      <x:c r="I12" t="str"/>
    </x:row>
    <x:row r="14">
      <x:c r="A14" s="24" t="str">
        <x:v>Classification guide</x:v>
      </x:c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</x:row>
    <x:row r="15">
      <x:c r="A15" s="20" t="str">
        <x:v>OPERATING_EXPENSE</x:v>
      </x:c>
      <x:c r="B15" s="20" t="str">
        <x:v>Normal day-to-day business cost</x:v>
      </x:c>
      <x:c r="C15" s="20" t="str"/>
      <x:c r="D15" s="20" t="str"/>
      <x:c r="E15" s="20" t="str"/>
      <x:c r="F15" s="20" t="str"/>
      <x:c r="G15" s="20" t="str"/>
      <x:c r="H15" s="20" t="str"/>
      <x:c r="I15" s="20" t="str"/>
    </x:row>
    <x:row r="16">
      <x:c r="A16" s="20" t="str">
        <x:v>DIRECT_INVENTORY_COST</x:v>
      </x:c>
      <x:c r="B16" s="20" t="str">
        <x:v>Approved cost that belongs in landed fuel cost; must not also reduce operating profit separately</x:v>
      </x:c>
      <x:c r="C16" s="20" t="str"/>
      <x:c r="D16" s="20" t="str"/>
      <x:c r="E16" s="20" t="str"/>
      <x:c r="F16" s="20" t="str"/>
      <x:c r="G16" s="20" t="str"/>
      <x:c r="H16" s="20" t="str"/>
      <x:c r="I16" s="20" t="str"/>
    </x:row>
    <x:row r="17">
      <x:c r="A17" s="20" t="str">
        <x:v>FIXED_COST</x:v>
      </x:c>
      <x:c r="B17" s="20" t="str">
        <x:v>Recurring cost recognition handled through recurring-cost schedule</x:v>
      </x:c>
      <x:c r="C17" s="20" t="str"/>
      <x:c r="D17" s="20" t="str"/>
      <x:c r="E17" s="20" t="str"/>
      <x:c r="F17" s="20" t="str"/>
      <x:c r="G17" s="20" t="str"/>
      <x:c r="H17" s="20" t="str"/>
      <x:c r="I17" s="20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52" hidden="0" customWidth="1"/>
    <x:col min="4" max="4" width="22" hidden="0" customWidth="1"/>
    <x:col min="5" max="5" width="28" hidden="0" customWidth="1"/>
    <x:col min="6" max="6" width="16" hidden="0" customWidth="1"/>
    <x:col min="7" max="7" width="22" hidden="0" customWidth="1"/>
    <x:col min="8" max="8" width="42" hidden="0" customWidth="1"/>
  </x:cols>
  <x:sheetData>
    <x:row r="1" ht="28" customHeight="1">
      <x:c r="A1" s="4" t="str">
        <x:v>Sources, Evidence &amp; Design Basis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0" t="str">
        <x:v>Distinguishes client facts, external verification and Shanda Fuel recommendations.</x:v>
      </x:c>
      <x:c r="B2" s="10"/>
      <x:c r="C2" s="10"/>
      <x:c r="D2" s="10"/>
      <x:c r="E2" s="10"/>
      <x:c r="F2" s="10"/>
      <x:c r="G2" s="10"/>
      <x:c r="H2" s="10"/>
    </x:row>
    <x:row r="4">
      <x:c r="A4" s="16" t="str">
        <x:v>Source Type</x:v>
      </x:c>
      <x:c r="B4" s="16" t="str">
        <x:v>Source / URL</x:v>
      </x:c>
      <x:c r="C4" s="16" t="str">
        <x:v>What it Supports</x:v>
      </x:c>
      <x:c r="D4" s="16" t="str">
        <x:v>Status</x:v>
      </x:c>
      <x:c r="E4" s="16" t="str">
        <x:v>Used For</x:v>
      </x:c>
      <x:c r="F4" s="16" t="str">
        <x:v>Date Checked</x:v>
      </x:c>
      <x:c r="G4" s="16" t="str">
        <x:v>Confidence</x:v>
      </x:c>
      <x:c r="H4" s="16" t="str">
        <x:v>Notes</x:v>
      </x:c>
    </x:row>
    <x:row r="5">
      <x:c r="A5" t="str">
        <x:v>Client-provided</x:v>
      </x:c>
      <x:c r="B5" t="str">
        <x:v>Triumph Energy website/screenshot</x:v>
      </x:c>
      <x:c r="C5" t="str">
        <x:v>Location list: Sandawana, Hwange, Bindura, Makaha, Kwekwe, Kadoma, Gweru, Harare, Mutare, Masvingo, Bulawayo</x:v>
      </x:c>
      <x:c r="D5" t="str">
        <x:v>Provided</x:v>
      </x:c>
      <x:c r="E5" t="str">
        <x:v>Station/location onboarding seed</x:v>
      </x:c>
      <x:c r="F5" s="46" t="n">
        <x:v>46284</x:v>
      </x:c>
      <x:c r="G5" t="str">
        <x:v>High for client intent</x:v>
      </x:c>
      <x:c r="H5" t="str">
        <x:v>Treat type/active status as confirmable at onboarding</x:v>
      </x:c>
    </x:row>
    <x:row r="6">
      <x:c r="A6" t="str">
        <x:v>Client-provided</x:v>
      </x:c>
      <x:c r="B6" t="str">
        <x:v>Requirements summary supplied in conversation</x:v>
      </x:c>
      <x:c r="C6" t="str">
        <x:v>Business workflows, reconciliation, cash, providers, suppliers, customers, expenses, reporting, approvals</x:v>
      </x:c>
      <x:c r="D6" t="str">
        <x:v>Provided</x:v>
      </x:c>
      <x:c r="E6" t="str">
        <x:v>Product requirements</x:v>
      </x:c>
      <x:c r="F6" s="46" t="n">
        <x:v>46284</x:v>
      </x:c>
      <x:c r="G6" t="str">
        <x:v>High</x:v>
      </x:c>
      <x:c r="H6" t="str">
        <x:v>Primary requirements source</x:v>
      </x:c>
    </x:row>
    <x:row r="7">
      <x:c r="A7" t="str">
        <x:v>Client-confirmed</x:v>
      </x:c>
      <x:c r="B7" t="str">
        <x:v>Conversation confirmation</x:v>
      </x:c>
      <x:c r="C7" t="str">
        <x:v>Timezone CAT; configurable shifts with 8-hour default; no broad history migration; selective useful recent history</x:v>
      </x:c>
      <x:c r="D7" t="str">
        <x:v>Confirmed</x:v>
      </x:c>
      <x:c r="E7" t="str">
        <x:v>Configuration defaults</x:v>
      </x:c>
      <x:c r="F7" s="46" t="n">
        <x:v>46284</x:v>
      </x:c>
      <x:c r="G7" t="str">
        <x:v>High</x:v>
      </x:c>
      <x:c r="H7" t="str"/>
    </x:row>
    <x:row r="8">
      <x:c r="A8" t="str">
        <x:v>External public</x:v>
      </x:c>
      <x:c r="B8" t="str">
        <x:v>https://www.zera.co.zw/liquid-fuels-licensees/</x:v>
      </x:c>
      <x:c r="C8" t="str">
        <x:v>Public regulatory listing for Triumph Energy Investments / TEI Oils retail/procurement licences</x:v>
      </x:c>
      <x:c r="D8" t="str">
        <x:v>Externally verified</x:v>
      </x:c>
      <x:c r="E8" t="str">
        <x:v>Identity/location cross-check</x:v>
      </x:c>
      <x:c r="F8" s="46" t="n">
        <x:v>46284</x:v>
      </x:c>
      <x:c r="G8" t="str">
        <x:v>High for listed licences</x:v>
      </x:c>
      <x:c r="H8" t="str">
        <x:v>Do not substitute public register for client's operating-location list</x:v>
      </x:c>
    </x:row>
    <x:row r="9">
      <x:c r="A9" t="str">
        <x:v>Public website</x:v>
      </x:c>
      <x:c r="B9" t="str">
        <x:v>https://www.triumphenergy.org</x:v>
      </x:c>
      <x:c r="C9" t="str">
        <x:v>Brand/company discovery source</x:v>
      </x:c>
      <x:c r="D9" t="str">
        <x:v>Website fetch not reliably machine-readable in current session</x:v>
      </x:c>
      <x:c r="E9" t="str">
        <x:v>Context only</x:v>
      </x:c>
      <x:c r="F9" s="46" t="n">
        <x:v>46284</x:v>
      </x:c>
      <x:c r="G9" t="str">
        <x:v>Medium</x:v>
      </x:c>
      <x:c r="H9" t="str">
        <x:v>Use client screenshot/resource where crawler cannot fetch page</x:v>
      </x:c>
    </x:row>
    <x:row r="12">
      <x:c r="A12" s="24" t="str">
        <x:v>Decision hierarchy</x:v>
      </x:c>
      <x:c r="B12" s="24" t="str"/>
      <x:c r="C12" s="24" t="str"/>
      <x:c r="D12" s="24" t="str"/>
      <x:c r="E12" s="24" t="str"/>
      <x:c r="F12" s="24" t="str"/>
      <x:c r="G12" s="24" t="str"/>
      <x:c r="H12" s="24" t="str"/>
    </x:row>
    <x:row r="13">
      <x:c r="A13" s="20" t="str">
        <x:v>1</x:v>
      </x:c>
      <x:c r="B13" s="20" t="str">
        <x:v>Client-confirmed operating facts</x:v>
      </x:c>
      <x:c r="C13" s="20" t="str"/>
      <x:c r="D13" s="20" t="str"/>
      <x:c r="E13" s="20" t="str"/>
      <x:c r="F13" s="20" t="str"/>
      <x:c r="G13" s="20" t="str"/>
      <x:c r="H13" s="20" t="str"/>
    </x:row>
    <x:row r="14">
      <x:c r="A14" s="20" t="str">
        <x:v>2</x:v>
      </x:c>
      <x:c r="B14" s="20" t="str">
        <x:v>Client-provided requirements/resources</x:v>
      </x:c>
      <x:c r="C14" s="20" t="str"/>
      <x:c r="D14" s="20" t="str"/>
      <x:c r="E14" s="20" t="str"/>
      <x:c r="F14" s="20" t="str"/>
      <x:c r="G14" s="20" t="str"/>
      <x:c r="H14" s="20" t="str"/>
    </x:row>
    <x:row r="15">
      <x:c r="A15" s="20" t="str">
        <x:v>3</x:v>
      </x:c>
      <x:c r="B15" s="20" t="str">
        <x:v>Externally verified public information</x:v>
      </x:c>
      <x:c r="C15" s="20" t="str"/>
      <x:c r="D15" s="20" t="str"/>
      <x:c r="E15" s="20" t="str"/>
      <x:c r="F15" s="20" t="str"/>
      <x:c r="G15" s="20" t="str"/>
      <x:c r="H15" s="20" t="str"/>
    </x:row>
    <x:row r="16">
      <x:c r="A16" s="20" t="str">
        <x:v>4</x:v>
      </x:c>
      <x:c r="B16" s="20" t="str">
        <x:v>Shanda Fuel recommended defaults where no business/legal fact exists</x:v>
      </x:c>
      <x:c r="C16" s="20" t="str"/>
      <x:c r="D16" s="20" t="str"/>
      <x:c r="E16" s="20" t="str"/>
      <x:c r="F16" s="20" t="str"/>
      <x:c r="G16" s="20" t="str"/>
      <x:c r="H16" s="2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06316b9ddbe41ab"/>
  </x:tableParts>
</x:worksheet>
</file>